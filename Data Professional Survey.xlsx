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2" documentId="8_{C8FB4ED0-9D02-4295-A07C-9016542484B6}" xr6:coauthVersionLast="47" xr6:coauthVersionMax="47" xr10:uidLastSave="{281102DE-A6D9-4CBD-A708-93D86C15076C}"/>
  <bookViews>
    <workbookView xWindow="-120" yWindow="-120" windowWidth="29040" windowHeight="15840" activeTab="1" xr2:uid="{00000000-000D-0000-FFFF-FFFF00000000}"/>
  </bookViews>
  <sheets>
    <sheet name="Data Professional Survey" sheetId="1" r:id="rId1"/>
    <sheet name="Working Sheet" sheetId="2" r:id="rId2"/>
  </sheets>
  <definedNames>
    <definedName name="_xlnm._FilterDatabase" localSheetId="0" hidden="1">'Data Professional Survey'!$A$1:$AB$1</definedName>
    <definedName name="_xlnm._FilterDatabase" localSheetId="1" hidden="1">'Working Sheet'!$A$1:$AH$631</definedName>
  </definedNames>
  <calcPr calcId="191029"/>
</workbook>
</file>

<file path=xl/calcChain.xml><?xml version="1.0" encoding="utf-8"?>
<calcChain xmlns="http://schemas.openxmlformats.org/spreadsheetml/2006/main">
  <c r="N2" i="2" l="1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F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7" i="2"/>
  <c r="N98" i="2"/>
  <c r="N99" i="2"/>
  <c r="N100" i="2"/>
  <c r="N101" i="2"/>
  <c r="N102" i="2"/>
  <c r="N103" i="2"/>
  <c r="N104" i="2"/>
  <c r="N105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7" i="2"/>
  <c r="N198" i="2"/>
  <c r="N199" i="2"/>
  <c r="N200" i="2"/>
  <c r="N201" i="2"/>
  <c r="N202" i="2"/>
  <c r="N203" i="2"/>
  <c r="N204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8" i="2"/>
  <c r="N609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G564" i="2" s="1"/>
  <c r="F565" i="2"/>
  <c r="F566" i="2"/>
  <c r="F567" i="2"/>
  <c r="F568" i="2"/>
  <c r="F569" i="2"/>
  <c r="F570" i="2"/>
  <c r="F571" i="2"/>
  <c r="F572" i="2"/>
  <c r="F573" i="2"/>
  <c r="F574" i="2"/>
  <c r="F575" i="2"/>
  <c r="F576" i="2"/>
  <c r="G576" i="2" s="1"/>
  <c r="F577" i="2"/>
  <c r="F578" i="2"/>
  <c r="F579" i="2"/>
  <c r="F580" i="2"/>
  <c r="F581" i="2"/>
  <c r="F582" i="2"/>
  <c r="F583" i="2"/>
  <c r="F584" i="2"/>
  <c r="F585" i="2"/>
  <c r="F586" i="2"/>
  <c r="F587" i="2"/>
  <c r="F588" i="2"/>
  <c r="G588" i="2" s="1"/>
  <c r="F589" i="2"/>
  <c r="F590" i="2"/>
  <c r="F591" i="2"/>
  <c r="F592" i="2"/>
  <c r="F593" i="2"/>
  <c r="F594" i="2"/>
  <c r="F595" i="2"/>
  <c r="F596" i="2"/>
  <c r="F597" i="2"/>
  <c r="F598" i="2"/>
  <c r="F599" i="2"/>
  <c r="F600" i="2"/>
  <c r="G600" i="2" s="1"/>
  <c r="F601" i="2"/>
  <c r="F602" i="2"/>
  <c r="F603" i="2"/>
  <c r="F604" i="2"/>
  <c r="F605" i="2"/>
  <c r="F606" i="2"/>
  <c r="F607" i="2"/>
  <c r="F608" i="2"/>
  <c r="F609" i="2"/>
  <c r="F610" i="2"/>
  <c r="F611" i="2"/>
  <c r="F612" i="2"/>
  <c r="G612" i="2" s="1"/>
  <c r="F613" i="2"/>
  <c r="F614" i="2"/>
  <c r="F615" i="2"/>
  <c r="F616" i="2"/>
  <c r="F617" i="2"/>
  <c r="F618" i="2"/>
  <c r="F619" i="2"/>
  <c r="F620" i="2"/>
  <c r="F621" i="2"/>
  <c r="F622" i="2"/>
  <c r="F623" i="2"/>
  <c r="F624" i="2"/>
  <c r="G624" i="2" s="1"/>
  <c r="F625" i="2"/>
  <c r="F626" i="2"/>
  <c r="F627" i="2"/>
  <c r="F628" i="2"/>
  <c r="F629" i="2"/>
  <c r="F630" i="2"/>
  <c r="F6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L498" i="2" s="1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L534" i="2" s="1"/>
  <c r="K535" i="2"/>
  <c r="K536" i="2"/>
  <c r="K537" i="2"/>
  <c r="K538" i="2"/>
  <c r="K539" i="2"/>
  <c r="K540" i="2"/>
  <c r="K541" i="2"/>
  <c r="K542" i="2"/>
  <c r="K543" i="2"/>
  <c r="K544" i="2"/>
  <c r="K545" i="2"/>
  <c r="K546" i="2"/>
  <c r="L546" i="2" s="1"/>
  <c r="K547" i="2"/>
  <c r="K548" i="2"/>
  <c r="K549" i="2"/>
  <c r="K550" i="2"/>
  <c r="K551" i="2"/>
  <c r="K552" i="2"/>
  <c r="K553" i="2"/>
  <c r="K554" i="2"/>
  <c r="K555" i="2"/>
  <c r="K556" i="2"/>
  <c r="K557" i="2"/>
  <c r="K558" i="2"/>
  <c r="L558" i="2" s="1"/>
  <c r="K559" i="2"/>
  <c r="K560" i="2"/>
  <c r="K561" i="2"/>
  <c r="K562" i="2"/>
  <c r="K563" i="2"/>
  <c r="K564" i="2"/>
  <c r="K565" i="2"/>
  <c r="K566" i="2"/>
  <c r="K567" i="2"/>
  <c r="K568" i="2"/>
  <c r="K569" i="2"/>
  <c r="K570" i="2"/>
  <c r="L570" i="2" s="1"/>
  <c r="K571" i="2"/>
  <c r="K572" i="2"/>
  <c r="K573" i="2"/>
  <c r="K574" i="2"/>
  <c r="K575" i="2"/>
  <c r="K576" i="2"/>
  <c r="K577" i="2"/>
  <c r="K578" i="2"/>
  <c r="K579" i="2"/>
  <c r="K580" i="2"/>
  <c r="K581" i="2"/>
  <c r="K582" i="2"/>
  <c r="L582" i="2" s="1"/>
  <c r="K583" i="2"/>
  <c r="K584" i="2"/>
  <c r="K585" i="2"/>
  <c r="K586" i="2"/>
  <c r="K587" i="2"/>
  <c r="K588" i="2"/>
  <c r="K589" i="2"/>
  <c r="K590" i="2"/>
  <c r="K591" i="2"/>
  <c r="K592" i="2"/>
  <c r="K593" i="2"/>
  <c r="K594" i="2"/>
  <c r="L594" i="2" s="1"/>
  <c r="K595" i="2"/>
  <c r="K596" i="2"/>
  <c r="K597" i="2"/>
  <c r="K598" i="2"/>
  <c r="K599" i="2"/>
  <c r="K600" i="2"/>
  <c r="K601" i="2"/>
  <c r="K602" i="2"/>
  <c r="K603" i="2"/>
  <c r="K604" i="2"/>
  <c r="K605" i="2"/>
  <c r="K606" i="2"/>
  <c r="L606" i="2" s="1"/>
  <c r="K607" i="2"/>
  <c r="K608" i="2"/>
  <c r="K609" i="2"/>
  <c r="K610" i="2"/>
  <c r="K611" i="2"/>
  <c r="K612" i="2"/>
  <c r="K613" i="2"/>
  <c r="K614" i="2"/>
  <c r="K615" i="2"/>
  <c r="K616" i="2"/>
  <c r="K617" i="2"/>
  <c r="K618" i="2"/>
  <c r="L618" i="2" s="1"/>
  <c r="K619" i="2"/>
  <c r="K620" i="2"/>
  <c r="K621" i="2"/>
  <c r="K622" i="2"/>
  <c r="K623" i="2"/>
  <c r="K624" i="2"/>
  <c r="K625" i="2"/>
  <c r="K626" i="2"/>
  <c r="K627" i="2"/>
  <c r="K628" i="2"/>
  <c r="K629" i="2"/>
  <c r="K630" i="2"/>
  <c r="L630" i="2" s="1"/>
  <c r="K631" i="2"/>
  <c r="G552" i="2" l="1"/>
  <c r="G540" i="2"/>
  <c r="G528" i="2"/>
  <c r="G492" i="2"/>
  <c r="O629" i="2"/>
  <c r="O617" i="2"/>
  <c r="O603" i="2"/>
  <c r="O591" i="2"/>
  <c r="O579" i="2"/>
  <c r="O567" i="2"/>
  <c r="O555" i="2"/>
  <c r="O543" i="2"/>
  <c r="O531" i="2"/>
  <c r="O507" i="2"/>
  <c r="AD626" i="2"/>
  <c r="AD614" i="2"/>
  <c r="AD602" i="2"/>
  <c r="AD590" i="2"/>
  <c r="AD578" i="2"/>
  <c r="AD566" i="2"/>
  <c r="AD542" i="2"/>
  <c r="AD530" i="2"/>
  <c r="AD518" i="2"/>
  <c r="AD506" i="2"/>
  <c r="AH620" i="2"/>
  <c r="Y624" i="2"/>
  <c r="Y612" i="2"/>
  <c r="Y600" i="2"/>
  <c r="Y588" i="2"/>
  <c r="Y576" i="2"/>
  <c r="Y564" i="2"/>
  <c r="Y552" i="2"/>
  <c r="Y540" i="2"/>
  <c r="Y528" i="2"/>
  <c r="Y516" i="2"/>
  <c r="Y504" i="2"/>
  <c r="L522" i="2"/>
  <c r="L438" i="2"/>
  <c r="L282" i="2"/>
  <c r="L150" i="2"/>
  <c r="G408" i="2"/>
  <c r="G276" i="2"/>
  <c r="G120" i="2"/>
  <c r="G72" i="2"/>
  <c r="O411" i="2"/>
  <c r="O241" i="2"/>
  <c r="O130" i="2"/>
  <c r="O56" i="2"/>
  <c r="AD350" i="2"/>
  <c r="AH499" i="2"/>
  <c r="AH391" i="2"/>
  <c r="AH259" i="2"/>
  <c r="Y468" i="2"/>
  <c r="Y360" i="2"/>
  <c r="L605" i="2"/>
  <c r="L473" i="2"/>
  <c r="L329" i="2"/>
  <c r="L209" i="2"/>
  <c r="L29" i="2"/>
  <c r="G539" i="2"/>
  <c r="G419" i="2"/>
  <c r="G311" i="2"/>
  <c r="G275" i="2"/>
  <c r="G155" i="2"/>
  <c r="G143" i="2"/>
  <c r="G131" i="2"/>
  <c r="G119" i="2"/>
  <c r="G107" i="2"/>
  <c r="G95" i="2"/>
  <c r="G83" i="2"/>
  <c r="G71" i="2"/>
  <c r="G59" i="2"/>
  <c r="G47" i="2"/>
  <c r="G35" i="2"/>
  <c r="G23" i="2"/>
  <c r="G11" i="2"/>
  <c r="O628" i="2"/>
  <c r="O616" i="2"/>
  <c r="O602" i="2"/>
  <c r="O590" i="2"/>
  <c r="O578" i="2"/>
  <c r="O566" i="2"/>
  <c r="O554" i="2"/>
  <c r="O542" i="2"/>
  <c r="O530" i="2"/>
  <c r="O518" i="2"/>
  <c r="O506" i="2"/>
  <c r="O494" i="2"/>
  <c r="O482" i="2"/>
  <c r="O470" i="2"/>
  <c r="O458" i="2"/>
  <c r="O446" i="2"/>
  <c r="O434" i="2"/>
  <c r="O422" i="2"/>
  <c r="O410" i="2"/>
  <c r="O398" i="2"/>
  <c r="O386" i="2"/>
  <c r="O374" i="2"/>
  <c r="O362" i="2"/>
  <c r="O349" i="2"/>
  <c r="O337" i="2"/>
  <c r="O325" i="2"/>
  <c r="O313" i="2"/>
  <c r="O301" i="2"/>
  <c r="O289" i="2"/>
  <c r="O277" i="2"/>
  <c r="O264" i="2"/>
  <c r="O252" i="2"/>
  <c r="O240" i="2"/>
  <c r="O228" i="2"/>
  <c r="O216" i="2"/>
  <c r="O203" i="2"/>
  <c r="O190" i="2"/>
  <c r="O178" i="2"/>
  <c r="O166" i="2"/>
  <c r="O153" i="2"/>
  <c r="O141" i="2"/>
  <c r="O129" i="2"/>
  <c r="O117" i="2"/>
  <c r="O104" i="2"/>
  <c r="O91" i="2"/>
  <c r="O79" i="2"/>
  <c r="O67" i="2"/>
  <c r="O55" i="2"/>
  <c r="O43" i="2"/>
  <c r="O31" i="2"/>
  <c r="O19" i="2"/>
  <c r="O7" i="2"/>
  <c r="AD625" i="2"/>
  <c r="AD613" i="2"/>
  <c r="AD601" i="2"/>
  <c r="AD589" i="2"/>
  <c r="AD577" i="2"/>
  <c r="AD565" i="2"/>
  <c r="AD553" i="2"/>
  <c r="AD541" i="2"/>
  <c r="AD529" i="2"/>
  <c r="AD517" i="2"/>
  <c r="AD505" i="2"/>
  <c r="AD493" i="2"/>
  <c r="AD481" i="2"/>
  <c r="AD469" i="2"/>
  <c r="AD457" i="2"/>
  <c r="AD445" i="2"/>
  <c r="AD433" i="2"/>
  <c r="AD421" i="2"/>
  <c r="AD409" i="2"/>
  <c r="AD397" i="2"/>
  <c r="L366" i="2"/>
  <c r="L210" i="2"/>
  <c r="L102" i="2"/>
  <c r="G420" i="2"/>
  <c r="G264" i="2"/>
  <c r="G132" i="2"/>
  <c r="G60" i="2"/>
  <c r="O399" i="2"/>
  <c r="O253" i="2"/>
  <c r="O118" i="2"/>
  <c r="O44" i="2"/>
  <c r="AD338" i="2"/>
  <c r="AD218" i="2"/>
  <c r="Y456" i="2"/>
  <c r="Y348" i="2"/>
  <c r="L533" i="2"/>
  <c r="L377" i="2"/>
  <c r="L233" i="2"/>
  <c r="L125" i="2"/>
  <c r="L17" i="2"/>
  <c r="G527" i="2"/>
  <c r="G407" i="2"/>
  <c r="G239" i="2"/>
  <c r="L592" i="2"/>
  <c r="L508" i="2"/>
  <c r="L496" i="2"/>
  <c r="L484" i="2"/>
  <c r="L472" i="2"/>
  <c r="L460" i="2"/>
  <c r="L448" i="2"/>
  <c r="L436" i="2"/>
  <c r="L424" i="2"/>
  <c r="L412" i="2"/>
  <c r="L400" i="2"/>
  <c r="L388" i="2"/>
  <c r="L376" i="2"/>
  <c r="L364" i="2"/>
  <c r="L352" i="2"/>
  <c r="L340" i="2"/>
  <c r="L328" i="2"/>
  <c r="L316" i="2"/>
  <c r="L304" i="2"/>
  <c r="L292" i="2"/>
  <c r="L280" i="2"/>
  <c r="L268" i="2"/>
  <c r="L256" i="2"/>
  <c r="L244" i="2"/>
  <c r="L232" i="2"/>
  <c r="L220" i="2"/>
  <c r="L208" i="2"/>
  <c r="L196" i="2"/>
  <c r="L184" i="2"/>
  <c r="L172" i="2"/>
  <c r="L160" i="2"/>
  <c r="L148" i="2"/>
  <c r="L136" i="2"/>
  <c r="L124" i="2"/>
  <c r="L112" i="2"/>
  <c r="L100" i="2"/>
  <c r="L88" i="2"/>
  <c r="L76" i="2"/>
  <c r="L64" i="2"/>
  <c r="L52" i="2"/>
  <c r="L40" i="2"/>
  <c r="L28" i="2"/>
  <c r="L16" i="2"/>
  <c r="L4" i="2"/>
  <c r="G622" i="2"/>
  <c r="G610" i="2"/>
  <c r="G598" i="2"/>
  <c r="G586" i="2"/>
  <c r="G574" i="2"/>
  <c r="G562" i="2"/>
  <c r="G550" i="2"/>
  <c r="G538" i="2"/>
  <c r="G526" i="2"/>
  <c r="G514" i="2"/>
  <c r="G502" i="2"/>
  <c r="G490" i="2"/>
  <c r="G478" i="2"/>
  <c r="G466" i="2"/>
  <c r="G454" i="2"/>
  <c r="G442" i="2"/>
  <c r="G430" i="2"/>
  <c r="G418" i="2"/>
  <c r="G406" i="2"/>
  <c r="G394" i="2"/>
  <c r="G382" i="2"/>
  <c r="G370" i="2"/>
  <c r="G358" i="2"/>
  <c r="G346" i="2"/>
  <c r="G334" i="2"/>
  <c r="G322" i="2"/>
  <c r="G310" i="2"/>
  <c r="G298" i="2"/>
  <c r="G286" i="2"/>
  <c r="G274" i="2"/>
  <c r="G262" i="2"/>
  <c r="G250" i="2"/>
  <c r="G238" i="2"/>
  <c r="G226" i="2"/>
  <c r="G214" i="2"/>
  <c r="G202" i="2"/>
  <c r="G190" i="2"/>
  <c r="L510" i="2"/>
  <c r="L402" i="2"/>
  <c r="L306" i="2"/>
  <c r="G468" i="2"/>
  <c r="G324" i="2"/>
  <c r="G204" i="2"/>
  <c r="G96" i="2"/>
  <c r="G24" i="2"/>
  <c r="O375" i="2"/>
  <c r="O290" i="2"/>
  <c r="O167" i="2"/>
  <c r="AD458" i="2"/>
  <c r="AD326" i="2"/>
  <c r="AD182" i="2"/>
  <c r="AD110" i="2"/>
  <c r="AH550" i="2"/>
  <c r="AH2" i="2"/>
  <c r="AH226" i="2"/>
  <c r="AH511" i="2"/>
  <c r="AH403" i="2"/>
  <c r="AH319" i="2"/>
  <c r="AH235" i="2"/>
  <c r="AH162" i="2"/>
  <c r="AH66" i="2"/>
  <c r="Y384" i="2"/>
  <c r="Y264" i="2"/>
  <c r="L581" i="2"/>
  <c r="L437" i="2"/>
  <c r="L269" i="2"/>
  <c r="L185" i="2"/>
  <c r="L65" i="2"/>
  <c r="G563" i="2"/>
  <c r="G455" i="2"/>
  <c r="G323" i="2"/>
  <c r="G191" i="2"/>
  <c r="L520" i="2"/>
  <c r="L531" i="2"/>
  <c r="L399" i="2"/>
  <c r="L267" i="2"/>
  <c r="L207" i="2"/>
  <c r="L159" i="2"/>
  <c r="L147" i="2"/>
  <c r="L135" i="2"/>
  <c r="L123" i="2"/>
  <c r="L111" i="2"/>
  <c r="L99" i="2"/>
  <c r="L87" i="2"/>
  <c r="L75" i="2"/>
  <c r="L63" i="2"/>
  <c r="L51" i="2"/>
  <c r="L39" i="2"/>
  <c r="L27" i="2"/>
  <c r="L15" i="2"/>
  <c r="L3" i="2"/>
  <c r="G621" i="2"/>
  <c r="G609" i="2"/>
  <c r="G597" i="2"/>
  <c r="G585" i="2"/>
  <c r="G573" i="2"/>
  <c r="G561" i="2"/>
  <c r="G549" i="2"/>
  <c r="G537" i="2"/>
  <c r="G525" i="2"/>
  <c r="G513" i="2"/>
  <c r="G501" i="2"/>
  <c r="G489" i="2"/>
  <c r="G477" i="2"/>
  <c r="G465" i="2"/>
  <c r="G453" i="2"/>
  <c r="G441" i="2"/>
  <c r="G429" i="2"/>
  <c r="G417" i="2"/>
  <c r="G405" i="2"/>
  <c r="G393" i="2"/>
  <c r="G381" i="2"/>
  <c r="G369" i="2"/>
  <c r="G357" i="2"/>
  <c r="G345" i="2"/>
  <c r="G333" i="2"/>
  <c r="G321" i="2"/>
  <c r="G309" i="2"/>
  <c r="G297" i="2"/>
  <c r="G285" i="2"/>
  <c r="G273" i="2"/>
  <c r="G261" i="2"/>
  <c r="G249" i="2"/>
  <c r="G237" i="2"/>
  <c r="G225" i="2"/>
  <c r="G213" i="2"/>
  <c r="G201" i="2"/>
  <c r="G189" i="2"/>
  <c r="G177" i="2"/>
  <c r="G165" i="2"/>
  <c r="G153" i="2"/>
  <c r="G141" i="2"/>
  <c r="G129" i="2"/>
  <c r="G117" i="2"/>
  <c r="G105" i="2"/>
  <c r="G93" i="2"/>
  <c r="G81" i="2"/>
  <c r="G69" i="2"/>
  <c r="G57" i="2"/>
  <c r="G45" i="2"/>
  <c r="G33" i="2"/>
  <c r="G21" i="2"/>
  <c r="G9" i="2"/>
  <c r="O626" i="2"/>
  <c r="O614" i="2"/>
  <c r="O600" i="2"/>
  <c r="O588" i="2"/>
  <c r="O576" i="2"/>
  <c r="O564" i="2"/>
  <c r="O552" i="2"/>
  <c r="L378" i="2"/>
  <c r="L270" i="2"/>
  <c r="L114" i="2"/>
  <c r="G432" i="2"/>
  <c r="G300" i="2"/>
  <c r="G156" i="2"/>
  <c r="G84" i="2"/>
  <c r="G36" i="2"/>
  <c r="G12" i="2"/>
  <c r="O519" i="2"/>
  <c r="O363" i="2"/>
  <c r="O217" i="2"/>
  <c r="O105" i="2"/>
  <c r="O32" i="2"/>
  <c r="AD410" i="2"/>
  <c r="AD314" i="2"/>
  <c r="AD158" i="2"/>
  <c r="AD26" i="2"/>
  <c r="AH572" i="2"/>
  <c r="AH463" i="2"/>
  <c r="AH283" i="2"/>
  <c r="Y492" i="2"/>
  <c r="Y336" i="2"/>
  <c r="L593" i="2"/>
  <c r="L413" i="2"/>
  <c r="L245" i="2"/>
  <c r="L149" i="2"/>
  <c r="L41" i="2"/>
  <c r="G515" i="2"/>
  <c r="G371" i="2"/>
  <c r="G203" i="2"/>
  <c r="L568" i="2"/>
  <c r="L591" i="2"/>
  <c r="L495" i="2"/>
  <c r="L411" i="2"/>
  <c r="L303" i="2"/>
  <c r="L231" i="2"/>
  <c r="L602" i="2"/>
  <c r="L590" i="2"/>
  <c r="L578" i="2"/>
  <c r="L566" i="2"/>
  <c r="L554" i="2"/>
  <c r="L542" i="2"/>
  <c r="L530" i="2"/>
  <c r="L518" i="2"/>
  <c r="L506" i="2"/>
  <c r="L494" i="2"/>
  <c r="L482" i="2"/>
  <c r="L470" i="2"/>
  <c r="L458" i="2"/>
  <c r="L446" i="2"/>
  <c r="L434" i="2"/>
  <c r="L422" i="2"/>
  <c r="L410" i="2"/>
  <c r="L398" i="2"/>
  <c r="L386" i="2"/>
  <c r="L374" i="2"/>
  <c r="L362" i="2"/>
  <c r="L350" i="2"/>
  <c r="L338" i="2"/>
  <c r="L326" i="2"/>
  <c r="L314" i="2"/>
  <c r="L302" i="2"/>
  <c r="L290" i="2"/>
  <c r="L278" i="2"/>
  <c r="L266" i="2"/>
  <c r="L254" i="2"/>
  <c r="L242" i="2"/>
  <c r="L230" i="2"/>
  <c r="L218" i="2"/>
  <c r="L206" i="2"/>
  <c r="L194" i="2"/>
  <c r="L182" i="2"/>
  <c r="L170" i="2"/>
  <c r="L158" i="2"/>
  <c r="L146" i="2"/>
  <c r="L134" i="2"/>
  <c r="L122" i="2"/>
  <c r="L110" i="2"/>
  <c r="L98" i="2"/>
  <c r="L86" i="2"/>
  <c r="L74" i="2"/>
  <c r="L62" i="2"/>
  <c r="L50" i="2"/>
  <c r="L38" i="2"/>
  <c r="L26" i="2"/>
  <c r="L14" i="2"/>
  <c r="L2" i="2"/>
  <c r="G620" i="2"/>
  <c r="G608" i="2"/>
  <c r="G596" i="2"/>
  <c r="G584" i="2"/>
  <c r="G572" i="2"/>
  <c r="G560" i="2"/>
  <c r="G548" i="2"/>
  <c r="G536" i="2"/>
  <c r="G524" i="2"/>
  <c r="G512" i="2"/>
  <c r="G500" i="2"/>
  <c r="G488" i="2"/>
  <c r="G476" i="2"/>
  <c r="G464" i="2"/>
  <c r="G452" i="2"/>
  <c r="G440" i="2"/>
  <c r="G428" i="2"/>
  <c r="G416" i="2"/>
  <c r="G404" i="2"/>
  <c r="G392" i="2"/>
  <c r="G380" i="2"/>
  <c r="G368" i="2"/>
  <c r="G356" i="2"/>
  <c r="G344" i="2"/>
  <c r="G332" i="2"/>
  <c r="G320" i="2"/>
  <c r="G308" i="2"/>
  <c r="G296" i="2"/>
  <c r="G284" i="2"/>
  <c r="G272" i="2"/>
  <c r="L426" i="2"/>
  <c r="L246" i="2"/>
  <c r="G444" i="2"/>
  <c r="G312" i="2"/>
  <c r="G180" i="2"/>
  <c r="O435" i="2"/>
  <c r="O265" i="2"/>
  <c r="AD482" i="2"/>
  <c r="AD374" i="2"/>
  <c r="AD230" i="2"/>
  <c r="AD62" i="2"/>
  <c r="AH547" i="2"/>
  <c r="AH415" i="2"/>
  <c r="AH307" i="2"/>
  <c r="AH186" i="2"/>
  <c r="AH102" i="2"/>
  <c r="AH54" i="2"/>
  <c r="AH18" i="2"/>
  <c r="AH6" i="2"/>
  <c r="Y372" i="2"/>
  <c r="L545" i="2"/>
  <c r="L425" i="2"/>
  <c r="L293" i="2"/>
  <c r="L53" i="2"/>
  <c r="G551" i="2"/>
  <c r="G431" i="2"/>
  <c r="G251" i="2"/>
  <c r="L580" i="2"/>
  <c r="L507" i="2"/>
  <c r="L339" i="2"/>
  <c r="L195" i="2"/>
  <c r="L517" i="2"/>
  <c r="L385" i="2"/>
  <c r="L229" i="2"/>
  <c r="L157" i="2"/>
  <c r="L73" i="2"/>
  <c r="L61" i="2"/>
  <c r="L49" i="2"/>
  <c r="L37" i="2"/>
  <c r="L25" i="2"/>
  <c r="L13" i="2"/>
  <c r="G631" i="2"/>
  <c r="G619" i="2"/>
  <c r="G607" i="2"/>
  <c r="G595" i="2"/>
  <c r="G583" i="2"/>
  <c r="G571" i="2"/>
  <c r="G559" i="2"/>
  <c r="G547" i="2"/>
  <c r="G535" i="2"/>
  <c r="G523" i="2"/>
  <c r="G511" i="2"/>
  <c r="G499" i="2"/>
  <c r="G487" i="2"/>
  <c r="G475" i="2"/>
  <c r="G463" i="2"/>
  <c r="G451" i="2"/>
  <c r="G439" i="2"/>
  <c r="G427" i="2"/>
  <c r="G415" i="2"/>
  <c r="G403" i="2"/>
  <c r="G391" i="2"/>
  <c r="G379" i="2"/>
  <c r="G367" i="2"/>
  <c r="L486" i="2"/>
  <c r="L354" i="2"/>
  <c r="L234" i="2"/>
  <c r="L126" i="2"/>
  <c r="L66" i="2"/>
  <c r="L30" i="2"/>
  <c r="G396" i="2"/>
  <c r="G288" i="2"/>
  <c r="G168" i="2"/>
  <c r="O495" i="2"/>
  <c r="O387" i="2"/>
  <c r="O302" i="2"/>
  <c r="O142" i="2"/>
  <c r="O68" i="2"/>
  <c r="AD398" i="2"/>
  <c r="AD278" i="2"/>
  <c r="AD122" i="2"/>
  <c r="AD38" i="2"/>
  <c r="AH535" i="2"/>
  <c r="AH439" i="2"/>
  <c r="AH343" i="2"/>
  <c r="AH247" i="2"/>
  <c r="AH150" i="2"/>
  <c r="AH90" i="2"/>
  <c r="AH30" i="2"/>
  <c r="Y408" i="2"/>
  <c r="Y252" i="2"/>
  <c r="L617" i="2"/>
  <c r="L497" i="2"/>
  <c r="L389" i="2"/>
  <c r="L305" i="2"/>
  <c r="L221" i="2"/>
  <c r="L113" i="2"/>
  <c r="L5" i="2"/>
  <c r="G503" i="2"/>
  <c r="G383" i="2"/>
  <c r="G263" i="2"/>
  <c r="L616" i="2"/>
  <c r="L603" i="2"/>
  <c r="L519" i="2"/>
  <c r="L423" i="2"/>
  <c r="L255" i="2"/>
  <c r="L626" i="2"/>
  <c r="L541" i="2"/>
  <c r="L421" i="2"/>
  <c r="L349" i="2"/>
  <c r="L241" i="2"/>
  <c r="L121" i="2"/>
  <c r="L600" i="2"/>
  <c r="L540" i="2"/>
  <c r="L432" i="2"/>
  <c r="L372" i="2"/>
  <c r="L276" i="2"/>
  <c r="L228" i="2"/>
  <c r="L180" i="2"/>
  <c r="L144" i="2"/>
  <c r="L72" i="2"/>
  <c r="G630" i="2"/>
  <c r="G558" i="2"/>
  <c r="G486" i="2"/>
  <c r="G402" i="2"/>
  <c r="G342" i="2"/>
  <c r="G258" i="2"/>
  <c r="G210" i="2"/>
  <c r="G162" i="2"/>
  <c r="G138" i="2"/>
  <c r="G114" i="2"/>
  <c r="G90" i="2"/>
  <c r="G66" i="2"/>
  <c r="G42" i="2"/>
  <c r="G18" i="2"/>
  <c r="O623" i="2"/>
  <c r="O597" i="2"/>
  <c r="O561" i="2"/>
  <c r="O537" i="2"/>
  <c r="O513" i="2"/>
  <c r="O489" i="2"/>
  <c r="O477" i="2"/>
  <c r="O453" i="2"/>
  <c r="O429" i="2"/>
  <c r="O405" i="2"/>
  <c r="O381" i="2"/>
  <c r="O356" i="2"/>
  <c r="O344" i="2"/>
  <c r="O308" i="2"/>
  <c r="O284" i="2"/>
  <c r="O271" i="2"/>
  <c r="O247" i="2"/>
  <c r="O223" i="2"/>
  <c r="O198" i="2"/>
  <c r="O173" i="2"/>
  <c r="O160" i="2"/>
  <c r="O136" i="2"/>
  <c r="O112" i="2"/>
  <c r="O86" i="2"/>
  <c r="O62" i="2"/>
  <c r="O38" i="2"/>
  <c r="O14" i="2"/>
  <c r="AD620" i="2"/>
  <c r="AD596" i="2"/>
  <c r="AD572" i="2"/>
  <c r="AD548" i="2"/>
  <c r="AD512" i="2"/>
  <c r="AD488" i="2"/>
  <c r="AD464" i="2"/>
  <c r="AD440" i="2"/>
  <c r="AD428" i="2"/>
  <c r="AD416" i="2"/>
  <c r="AD404" i="2"/>
  <c r="AD380" i="2"/>
  <c r="AD368" i="2"/>
  <c r="AD356" i="2"/>
  <c r="AD344" i="2"/>
  <c r="AD332" i="2"/>
  <c r="AD320" i="2"/>
  <c r="AD308" i="2"/>
  <c r="AD296" i="2"/>
  <c r="L450" i="2"/>
  <c r="L318" i="2"/>
  <c r="L198" i="2"/>
  <c r="G504" i="2"/>
  <c r="G348" i="2"/>
  <c r="G228" i="2"/>
  <c r="O483" i="2"/>
  <c r="O326" i="2"/>
  <c r="O179" i="2"/>
  <c r="AD446" i="2"/>
  <c r="AD290" i="2"/>
  <c r="AD194" i="2"/>
  <c r="AD86" i="2"/>
  <c r="AH584" i="2"/>
  <c r="AH451" i="2"/>
  <c r="AH331" i="2"/>
  <c r="AH222" i="2"/>
  <c r="AH138" i="2"/>
  <c r="Y432" i="2"/>
  <c r="Y312" i="2"/>
  <c r="L557" i="2"/>
  <c r="L449" i="2"/>
  <c r="L281" i="2"/>
  <c r="L161" i="2"/>
  <c r="G623" i="2"/>
  <c r="G491" i="2"/>
  <c r="G347" i="2"/>
  <c r="G215" i="2"/>
  <c r="L627" i="2"/>
  <c r="L543" i="2"/>
  <c r="L435" i="2"/>
  <c r="L279" i="2"/>
  <c r="L613" i="2"/>
  <c r="L553" i="2"/>
  <c r="L457" i="2"/>
  <c r="L373" i="2"/>
  <c r="L313" i="2"/>
  <c r="L253" i="2"/>
  <c r="L193" i="2"/>
  <c r="L109" i="2"/>
  <c r="L612" i="2"/>
  <c r="L528" i="2"/>
  <c r="L468" i="2"/>
  <c r="L396" i="2"/>
  <c r="L360" i="2"/>
  <c r="L300" i="2"/>
  <c r="L252" i="2"/>
  <c r="L168" i="2"/>
  <c r="L132" i="2"/>
  <c r="L48" i="2"/>
  <c r="G606" i="2"/>
  <c r="G534" i="2"/>
  <c r="G474" i="2"/>
  <c r="G414" i="2"/>
  <c r="G318" i="2"/>
  <c r="G270" i="2"/>
  <c r="G234" i="2"/>
  <c r="G174" i="2"/>
  <c r="G150" i="2"/>
  <c r="G126" i="2"/>
  <c r="G102" i="2"/>
  <c r="G78" i="2"/>
  <c r="G54" i="2"/>
  <c r="G30" i="2"/>
  <c r="G6" i="2"/>
  <c r="O611" i="2"/>
  <c r="O585" i="2"/>
  <c r="O573" i="2"/>
  <c r="O549" i="2"/>
  <c r="O525" i="2"/>
  <c r="O501" i="2"/>
  <c r="O465" i="2"/>
  <c r="O441" i="2"/>
  <c r="O417" i="2"/>
  <c r="O393" i="2"/>
  <c r="O369" i="2"/>
  <c r="O332" i="2"/>
  <c r="O320" i="2"/>
  <c r="O296" i="2"/>
  <c r="O259" i="2"/>
  <c r="O235" i="2"/>
  <c r="O211" i="2"/>
  <c r="O185" i="2"/>
  <c r="O148" i="2"/>
  <c r="O124" i="2"/>
  <c r="O99" i="2"/>
  <c r="O74" i="2"/>
  <c r="O50" i="2"/>
  <c r="O26" i="2"/>
  <c r="AD2" i="2"/>
  <c r="AD608" i="2"/>
  <c r="AD584" i="2"/>
  <c r="AD560" i="2"/>
  <c r="AD536" i="2"/>
  <c r="AD524" i="2"/>
  <c r="AD500" i="2"/>
  <c r="AD476" i="2"/>
  <c r="AD452" i="2"/>
  <c r="AD392" i="2"/>
  <c r="L623" i="2"/>
  <c r="L611" i="2"/>
  <c r="L599" i="2"/>
  <c r="L587" i="2"/>
  <c r="L575" i="2"/>
  <c r="L563" i="2"/>
  <c r="L551" i="2"/>
  <c r="L539" i="2"/>
  <c r="L527" i="2"/>
  <c r="L414" i="2"/>
  <c r="L258" i="2"/>
  <c r="L162" i="2"/>
  <c r="L90" i="2"/>
  <c r="L54" i="2"/>
  <c r="L18" i="2"/>
  <c r="L6" i="2"/>
  <c r="G516" i="2"/>
  <c r="G360" i="2"/>
  <c r="G192" i="2"/>
  <c r="O471" i="2"/>
  <c r="O338" i="2"/>
  <c r="O204" i="2"/>
  <c r="AD470" i="2"/>
  <c r="AD362" i="2"/>
  <c r="AD266" i="2"/>
  <c r="AD206" i="2"/>
  <c r="AD74" i="2"/>
  <c r="AH596" i="2"/>
  <c r="AH475" i="2"/>
  <c r="AH355" i="2"/>
  <c r="AH210" i="2"/>
  <c r="Y444" i="2"/>
  <c r="Y300" i="2"/>
  <c r="L569" i="2"/>
  <c r="L461" i="2"/>
  <c r="L341" i="2"/>
  <c r="L173" i="2"/>
  <c r="L89" i="2"/>
  <c r="G599" i="2"/>
  <c r="G479" i="2"/>
  <c r="G359" i="2"/>
  <c r="G227" i="2"/>
  <c r="L604" i="2"/>
  <c r="L615" i="2"/>
  <c r="L459" i="2"/>
  <c r="L363" i="2"/>
  <c r="L291" i="2"/>
  <c r="L183" i="2"/>
  <c r="L601" i="2"/>
  <c r="L481" i="2"/>
  <c r="L433" i="2"/>
  <c r="L301" i="2"/>
  <c r="L205" i="2"/>
  <c r="L133" i="2"/>
  <c r="L552" i="2"/>
  <c r="L516" i="2"/>
  <c r="L444" i="2"/>
  <c r="L348" i="2"/>
  <c r="L288" i="2"/>
  <c r="L204" i="2"/>
  <c r="L120" i="2"/>
  <c r="L60" i="2"/>
  <c r="G618" i="2"/>
  <c r="G546" i="2"/>
  <c r="G462" i="2"/>
  <c r="G378" i="2"/>
  <c r="G306" i="2"/>
  <c r="G222" i="2"/>
  <c r="L610" i="2"/>
  <c r="L538" i="2"/>
  <c r="L478" i="2"/>
  <c r="L418" i="2"/>
  <c r="L370" i="2"/>
  <c r="L334" i="2"/>
  <c r="L274" i="2"/>
  <c r="L226" i="2"/>
  <c r="L178" i="2"/>
  <c r="L106" i="2"/>
  <c r="L58" i="2"/>
  <c r="L22" i="2"/>
  <c r="G616" i="2"/>
  <c r="G592" i="2"/>
  <c r="G556" i="2"/>
  <c r="G544" i="2"/>
  <c r="G532" i="2"/>
  <c r="G520" i="2"/>
  <c r="G508" i="2"/>
  <c r="G496" i="2"/>
  <c r="G484" i="2"/>
  <c r="G472" i="2"/>
  <c r="G460" i="2"/>
  <c r="G448" i="2"/>
  <c r="G436" i="2"/>
  <c r="G424" i="2"/>
  <c r="G412" i="2"/>
  <c r="G400" i="2"/>
  <c r="G388" i="2"/>
  <c r="G376" i="2"/>
  <c r="G364" i="2"/>
  <c r="G352" i="2"/>
  <c r="G340" i="2"/>
  <c r="G328" i="2"/>
  <c r="G316" i="2"/>
  <c r="G304" i="2"/>
  <c r="G292" i="2"/>
  <c r="G280" i="2"/>
  <c r="G268" i="2"/>
  <c r="G256" i="2"/>
  <c r="G244" i="2"/>
  <c r="G232" i="2"/>
  <c r="G220" i="2"/>
  <c r="G208" i="2"/>
  <c r="G196" i="2"/>
  <c r="G184" i="2"/>
  <c r="L390" i="2"/>
  <c r="L294" i="2"/>
  <c r="L174" i="2"/>
  <c r="G456" i="2"/>
  <c r="G336" i="2"/>
  <c r="G216" i="2"/>
  <c r="O459" i="2"/>
  <c r="O350" i="2"/>
  <c r="O229" i="2"/>
  <c r="O154" i="2"/>
  <c r="O80" i="2"/>
  <c r="AD422" i="2"/>
  <c r="AD302" i="2"/>
  <c r="AD146" i="2"/>
  <c r="AD14" i="2"/>
  <c r="AH523" i="2"/>
  <c r="AH379" i="2"/>
  <c r="Y480" i="2"/>
  <c r="Y324" i="2"/>
  <c r="L509" i="2"/>
  <c r="L401" i="2"/>
  <c r="L257" i="2"/>
  <c r="L101" i="2"/>
  <c r="G587" i="2"/>
  <c r="G467" i="2"/>
  <c r="G335" i="2"/>
  <c r="G179" i="2"/>
  <c r="L556" i="2"/>
  <c r="L567" i="2"/>
  <c r="L471" i="2"/>
  <c r="L375" i="2"/>
  <c r="L315" i="2"/>
  <c r="L243" i="2"/>
  <c r="L614" i="2"/>
  <c r="L577" i="2"/>
  <c r="L505" i="2"/>
  <c r="L397" i="2"/>
  <c r="L337" i="2"/>
  <c r="L289" i="2"/>
  <c r="L181" i="2"/>
  <c r="L97" i="2"/>
  <c r="L588" i="2"/>
  <c r="L492" i="2"/>
  <c r="L420" i="2"/>
  <c r="L336" i="2"/>
  <c r="L216" i="2"/>
  <c r="L108" i="2"/>
  <c r="L36" i="2"/>
  <c r="G594" i="2"/>
  <c r="G522" i="2"/>
  <c r="G450" i="2"/>
  <c r="G390" i="2"/>
  <c r="G330" i="2"/>
  <c r="G246" i="2"/>
  <c r="L622" i="2"/>
  <c r="L550" i="2"/>
  <c r="L514" i="2"/>
  <c r="L490" i="2"/>
  <c r="L442" i="2"/>
  <c r="L394" i="2"/>
  <c r="L358" i="2"/>
  <c r="L322" i="2"/>
  <c r="L286" i="2"/>
  <c r="L238" i="2"/>
  <c r="L190" i="2"/>
  <c r="L166" i="2"/>
  <c r="L130" i="2"/>
  <c r="L70" i="2"/>
  <c r="G628" i="2"/>
  <c r="G580" i="2"/>
  <c r="L585" i="2"/>
  <c r="L549" i="2"/>
  <c r="L501" i="2"/>
  <c r="L477" i="2"/>
  <c r="L441" i="2"/>
  <c r="L417" i="2"/>
  <c r="L381" i="2"/>
  <c r="L357" i="2"/>
  <c r="L321" i="2"/>
  <c r="L273" i="2"/>
  <c r="L249" i="2"/>
  <c r="L225" i="2"/>
  <c r="L213" i="2"/>
  <c r="L201" i="2"/>
  <c r="L189" i="2"/>
  <c r="L177" i="2"/>
  <c r="L165" i="2"/>
  <c r="L153" i="2"/>
  <c r="L141" i="2"/>
  <c r="L129" i="2"/>
  <c r="L117" i="2"/>
  <c r="L105" i="2"/>
  <c r="L93" i="2"/>
  <c r="L81" i="2"/>
  <c r="L69" i="2"/>
  <c r="L57" i="2"/>
  <c r="L45" i="2"/>
  <c r="L33" i="2"/>
  <c r="L21" i="2"/>
  <c r="L9" i="2"/>
  <c r="G627" i="2"/>
  <c r="G615" i="2"/>
  <c r="G603" i="2"/>
  <c r="G591" i="2"/>
  <c r="G579" i="2"/>
  <c r="G567" i="2"/>
  <c r="G555" i="2"/>
  <c r="G543" i="2"/>
  <c r="G531" i="2"/>
  <c r="L462" i="2"/>
  <c r="L330" i="2"/>
  <c r="L186" i="2"/>
  <c r="G480" i="2"/>
  <c r="G372" i="2"/>
  <c r="G240" i="2"/>
  <c r="G108" i="2"/>
  <c r="O447" i="2"/>
  <c r="O314" i="2"/>
  <c r="O191" i="2"/>
  <c r="O92" i="2"/>
  <c r="O20" i="2"/>
  <c r="O8" i="2"/>
  <c r="AD554" i="2"/>
  <c r="AD434" i="2"/>
  <c r="AD242" i="2"/>
  <c r="AD170" i="2"/>
  <c r="AD98" i="2"/>
  <c r="AH608" i="2"/>
  <c r="AH487" i="2"/>
  <c r="AH367" i="2"/>
  <c r="AH271" i="2"/>
  <c r="AH174" i="2"/>
  <c r="AH126" i="2"/>
  <c r="AH78" i="2"/>
  <c r="Y396" i="2"/>
  <c r="Y276" i="2"/>
  <c r="L521" i="2"/>
  <c r="L353" i="2"/>
  <c r="L197" i="2"/>
  <c r="L77" i="2"/>
  <c r="G575" i="2"/>
  <c r="G443" i="2"/>
  <c r="G299" i="2"/>
  <c r="G167" i="2"/>
  <c r="L532" i="2"/>
  <c r="L579" i="2"/>
  <c r="L483" i="2"/>
  <c r="L387" i="2"/>
  <c r="L327" i="2"/>
  <c r="L219" i="2"/>
  <c r="L625" i="2"/>
  <c r="L565" i="2"/>
  <c r="L493" i="2"/>
  <c r="L445" i="2"/>
  <c r="L325" i="2"/>
  <c r="L265" i="2"/>
  <c r="L169" i="2"/>
  <c r="L85" i="2"/>
  <c r="L576" i="2"/>
  <c r="L480" i="2"/>
  <c r="L408" i="2"/>
  <c r="L312" i="2"/>
  <c r="L264" i="2"/>
  <c r="L192" i="2"/>
  <c r="L96" i="2"/>
  <c r="L12" i="2"/>
  <c r="G582" i="2"/>
  <c r="G510" i="2"/>
  <c r="G438" i="2"/>
  <c r="G366" i="2"/>
  <c r="G294" i="2"/>
  <c r="G198" i="2"/>
  <c r="L598" i="2"/>
  <c r="L574" i="2"/>
  <c r="L502" i="2"/>
  <c r="L466" i="2"/>
  <c r="L430" i="2"/>
  <c r="L406" i="2"/>
  <c r="L346" i="2"/>
  <c r="L298" i="2"/>
  <c r="L250" i="2"/>
  <c r="L202" i="2"/>
  <c r="L142" i="2"/>
  <c r="L94" i="2"/>
  <c r="L34" i="2"/>
  <c r="G604" i="2"/>
  <c r="L621" i="2"/>
  <c r="L597" i="2"/>
  <c r="L573" i="2"/>
  <c r="L537" i="2"/>
  <c r="L525" i="2"/>
  <c r="L489" i="2"/>
  <c r="L453" i="2"/>
  <c r="L429" i="2"/>
  <c r="L393" i="2"/>
  <c r="L369" i="2"/>
  <c r="L333" i="2"/>
  <c r="L309" i="2"/>
  <c r="L261" i="2"/>
  <c r="L620" i="2"/>
  <c r="L596" i="2"/>
  <c r="L572" i="2"/>
  <c r="L536" i="2"/>
  <c r="L512" i="2"/>
  <c r="L500" i="2"/>
  <c r="L488" i="2"/>
  <c r="L476" i="2"/>
  <c r="L464" i="2"/>
  <c r="L452" i="2"/>
  <c r="L440" i="2"/>
  <c r="L428" i="2"/>
  <c r="L416" i="2"/>
  <c r="L404" i="2"/>
  <c r="L392" i="2"/>
  <c r="L380" i="2"/>
  <c r="L368" i="2"/>
  <c r="L356" i="2"/>
  <c r="L344" i="2"/>
  <c r="L332" i="2"/>
  <c r="L320" i="2"/>
  <c r="L308" i="2"/>
  <c r="L296" i="2"/>
  <c r="L284" i="2"/>
  <c r="L272" i="2"/>
  <c r="L260" i="2"/>
  <c r="L474" i="2"/>
  <c r="L342" i="2"/>
  <c r="L222" i="2"/>
  <c r="L138" i="2"/>
  <c r="L78" i="2"/>
  <c r="L42" i="2"/>
  <c r="G384" i="2"/>
  <c r="G252" i="2"/>
  <c r="G144" i="2"/>
  <c r="G48" i="2"/>
  <c r="O423" i="2"/>
  <c r="O278" i="2"/>
  <c r="AD494" i="2"/>
  <c r="AD386" i="2"/>
  <c r="AD254" i="2"/>
  <c r="AD134" i="2"/>
  <c r="AD50" i="2"/>
  <c r="AH560" i="2"/>
  <c r="AH427" i="2"/>
  <c r="AH295" i="2"/>
  <c r="AH198" i="2"/>
  <c r="AH114" i="2"/>
  <c r="AH42" i="2"/>
  <c r="Y420" i="2"/>
  <c r="Y288" i="2"/>
  <c r="L629" i="2"/>
  <c r="L485" i="2"/>
  <c r="L365" i="2"/>
  <c r="L317" i="2"/>
  <c r="L137" i="2"/>
  <c r="G611" i="2"/>
  <c r="G395" i="2"/>
  <c r="G287" i="2"/>
  <c r="L628" i="2"/>
  <c r="L544" i="2"/>
  <c r="L555" i="2"/>
  <c r="L447" i="2"/>
  <c r="L351" i="2"/>
  <c r="L171" i="2"/>
  <c r="L589" i="2"/>
  <c r="L529" i="2"/>
  <c r="L469" i="2"/>
  <c r="L409" i="2"/>
  <c r="L361" i="2"/>
  <c r="L277" i="2"/>
  <c r="L217" i="2"/>
  <c r="L145" i="2"/>
  <c r="L624" i="2"/>
  <c r="L564" i="2"/>
  <c r="L504" i="2"/>
  <c r="L456" i="2"/>
  <c r="L384" i="2"/>
  <c r="L324" i="2"/>
  <c r="L240" i="2"/>
  <c r="L156" i="2"/>
  <c r="L84" i="2"/>
  <c r="L24" i="2"/>
  <c r="G570" i="2"/>
  <c r="G498" i="2"/>
  <c r="G426" i="2"/>
  <c r="G354" i="2"/>
  <c r="G282" i="2"/>
  <c r="G186" i="2"/>
  <c r="L586" i="2"/>
  <c r="L562" i="2"/>
  <c r="L526" i="2"/>
  <c r="L454" i="2"/>
  <c r="L382" i="2"/>
  <c r="L310" i="2"/>
  <c r="L262" i="2"/>
  <c r="L214" i="2"/>
  <c r="L154" i="2"/>
  <c r="L118" i="2"/>
  <c r="L82" i="2"/>
  <c r="L46" i="2"/>
  <c r="L10" i="2"/>
  <c r="G568" i="2"/>
  <c r="L609" i="2"/>
  <c r="L561" i="2"/>
  <c r="L513" i="2"/>
  <c r="L465" i="2"/>
  <c r="L405" i="2"/>
  <c r="L345" i="2"/>
  <c r="L297" i="2"/>
  <c r="L285" i="2"/>
  <c r="L237" i="2"/>
  <c r="L608" i="2"/>
  <c r="L584" i="2"/>
  <c r="L560" i="2"/>
  <c r="L548" i="2"/>
  <c r="L524" i="2"/>
  <c r="L631" i="2"/>
  <c r="L619" i="2"/>
  <c r="L607" i="2"/>
  <c r="L595" i="2"/>
  <c r="L583" i="2"/>
  <c r="L571" i="2"/>
  <c r="L559" i="2"/>
  <c r="L547" i="2"/>
  <c r="L535" i="2"/>
  <c r="L523" i="2"/>
  <c r="L511" i="2"/>
  <c r="L499" i="2"/>
  <c r="L487" i="2"/>
  <c r="L475" i="2"/>
  <c r="L463" i="2"/>
  <c r="L451" i="2"/>
  <c r="L439" i="2"/>
  <c r="L427" i="2"/>
  <c r="L415" i="2"/>
  <c r="L403" i="2"/>
  <c r="L391" i="2"/>
  <c r="L379" i="2"/>
  <c r="L367" i="2"/>
  <c r="L355" i="2"/>
  <c r="AD385" i="2"/>
  <c r="AD373" i="2"/>
  <c r="AD361" i="2"/>
  <c r="AD349" i="2"/>
  <c r="AD337" i="2"/>
  <c r="AD325" i="2"/>
  <c r="AD313" i="2"/>
  <c r="AD301" i="2"/>
  <c r="AD289" i="2"/>
  <c r="AD277" i="2"/>
  <c r="AD265" i="2"/>
  <c r="AD253" i="2"/>
  <c r="AD241" i="2"/>
  <c r="AD229" i="2"/>
  <c r="AD217" i="2"/>
  <c r="AD205" i="2"/>
  <c r="AD193" i="2"/>
  <c r="AD181" i="2"/>
  <c r="AD169" i="2"/>
  <c r="AD157" i="2"/>
  <c r="AD145" i="2"/>
  <c r="AD133" i="2"/>
  <c r="AD121" i="2"/>
  <c r="AD109" i="2"/>
  <c r="AD97" i="2"/>
  <c r="AD85" i="2"/>
  <c r="AD73" i="2"/>
  <c r="AD61" i="2"/>
  <c r="AD49" i="2"/>
  <c r="AD37" i="2"/>
  <c r="AD25" i="2"/>
  <c r="AD13" i="2"/>
  <c r="AH631" i="2"/>
  <c r="AH619" i="2"/>
  <c r="AH607" i="2"/>
  <c r="AH595" i="2"/>
  <c r="AH583" i="2"/>
  <c r="AH571" i="2"/>
  <c r="AH559" i="2"/>
  <c r="AH546" i="2"/>
  <c r="AH534" i="2"/>
  <c r="AH522" i="2"/>
  <c r="AH510" i="2"/>
  <c r="AH498" i="2"/>
  <c r="AH486" i="2"/>
  <c r="AH474" i="2"/>
  <c r="AH462" i="2"/>
  <c r="AH450" i="2"/>
  <c r="AH438" i="2"/>
  <c r="AH426" i="2"/>
  <c r="AH414" i="2"/>
  <c r="AH402" i="2"/>
  <c r="AH390" i="2"/>
  <c r="AH378" i="2"/>
  <c r="AH366" i="2"/>
  <c r="AH354" i="2"/>
  <c r="AH342" i="2"/>
  <c r="AH330" i="2"/>
  <c r="AH318" i="2"/>
  <c r="AH306" i="2"/>
  <c r="AH294" i="2"/>
  <c r="AH282" i="2"/>
  <c r="AH270" i="2"/>
  <c r="AH258" i="2"/>
  <c r="AH246" i="2"/>
  <c r="AH234" i="2"/>
  <c r="AH221" i="2"/>
  <c r="AH209" i="2"/>
  <c r="AH197" i="2"/>
  <c r="AH185" i="2"/>
  <c r="AH173" i="2"/>
  <c r="AH161" i="2"/>
  <c r="AH149" i="2"/>
  <c r="AH137" i="2"/>
  <c r="AH125" i="2"/>
  <c r="AH113" i="2"/>
  <c r="AH101" i="2"/>
  <c r="AH89" i="2"/>
  <c r="AH77" i="2"/>
  <c r="AH65" i="2"/>
  <c r="AH53" i="2"/>
  <c r="AH41" i="2"/>
  <c r="AH29" i="2"/>
  <c r="AH17" i="2"/>
  <c r="AH5" i="2"/>
  <c r="G178" i="2"/>
  <c r="G166" i="2"/>
  <c r="G154" i="2"/>
  <c r="G142" i="2"/>
  <c r="G130" i="2"/>
  <c r="G118" i="2"/>
  <c r="G106" i="2"/>
  <c r="G94" i="2"/>
  <c r="G82" i="2"/>
  <c r="G70" i="2"/>
  <c r="G58" i="2"/>
  <c r="G46" i="2"/>
  <c r="G34" i="2"/>
  <c r="G22" i="2"/>
  <c r="G10" i="2"/>
  <c r="O627" i="2"/>
  <c r="O615" i="2"/>
  <c r="O601" i="2"/>
  <c r="O589" i="2"/>
  <c r="O577" i="2"/>
  <c r="O565" i="2"/>
  <c r="O553" i="2"/>
  <c r="O541" i="2"/>
  <c r="O529" i="2"/>
  <c r="O517" i="2"/>
  <c r="O505" i="2"/>
  <c r="O493" i="2"/>
  <c r="O481" i="2"/>
  <c r="O469" i="2"/>
  <c r="O457" i="2"/>
  <c r="O445" i="2"/>
  <c r="O433" i="2"/>
  <c r="O421" i="2"/>
  <c r="O409" i="2"/>
  <c r="O397" i="2"/>
  <c r="O385" i="2"/>
  <c r="O373" i="2"/>
  <c r="O361" i="2"/>
  <c r="O348" i="2"/>
  <c r="O336" i="2"/>
  <c r="O324" i="2"/>
  <c r="O312" i="2"/>
  <c r="O300" i="2"/>
  <c r="O288" i="2"/>
  <c r="O276" i="2"/>
  <c r="O263" i="2"/>
  <c r="O251" i="2"/>
  <c r="O239" i="2"/>
  <c r="O227" i="2"/>
  <c r="O215" i="2"/>
  <c r="O202" i="2"/>
  <c r="O189" i="2"/>
  <c r="O177" i="2"/>
  <c r="O165" i="2"/>
  <c r="O152" i="2"/>
  <c r="O140" i="2"/>
  <c r="O128" i="2"/>
  <c r="O116" i="2"/>
  <c r="O103" i="2"/>
  <c r="O90" i="2"/>
  <c r="O78" i="2"/>
  <c r="O66" i="2"/>
  <c r="O54" i="2"/>
  <c r="O42" i="2"/>
  <c r="O30" i="2"/>
  <c r="O18" i="2"/>
  <c r="O6" i="2"/>
  <c r="AD624" i="2"/>
  <c r="AD612" i="2"/>
  <c r="AD600" i="2"/>
  <c r="AD588" i="2"/>
  <c r="AD576" i="2"/>
  <c r="AD564" i="2"/>
  <c r="AD552" i="2"/>
  <c r="AD540" i="2"/>
  <c r="AD528" i="2"/>
  <c r="AD516" i="2"/>
  <c r="AD504" i="2"/>
  <c r="AD492" i="2"/>
  <c r="AD480" i="2"/>
  <c r="AD468" i="2"/>
  <c r="AD456" i="2"/>
  <c r="AD444" i="2"/>
  <c r="AD432" i="2"/>
  <c r="AD420" i="2"/>
  <c r="AD408" i="2"/>
  <c r="AD396" i="2"/>
  <c r="AD384" i="2"/>
  <c r="AD372" i="2"/>
  <c r="AD360" i="2"/>
  <c r="AD348" i="2"/>
  <c r="AD336" i="2"/>
  <c r="AD324" i="2"/>
  <c r="AD312" i="2"/>
  <c r="AD300" i="2"/>
  <c r="AD288" i="2"/>
  <c r="AD276" i="2"/>
  <c r="AD264" i="2"/>
  <c r="AD252" i="2"/>
  <c r="AD240" i="2"/>
  <c r="AD228" i="2"/>
  <c r="AD216" i="2"/>
  <c r="AD204" i="2"/>
  <c r="AD192" i="2"/>
  <c r="AD180" i="2"/>
  <c r="AD168" i="2"/>
  <c r="AD156" i="2"/>
  <c r="AD144" i="2"/>
  <c r="AD132" i="2"/>
  <c r="AD120" i="2"/>
  <c r="AD108" i="2"/>
  <c r="AD96" i="2"/>
  <c r="AD84" i="2"/>
  <c r="O540" i="2"/>
  <c r="O528" i="2"/>
  <c r="O516" i="2"/>
  <c r="O504" i="2"/>
  <c r="O492" i="2"/>
  <c r="O480" i="2"/>
  <c r="O468" i="2"/>
  <c r="O456" i="2"/>
  <c r="O444" i="2"/>
  <c r="O432" i="2"/>
  <c r="O420" i="2"/>
  <c r="O408" i="2"/>
  <c r="O396" i="2"/>
  <c r="O384" i="2"/>
  <c r="O372" i="2"/>
  <c r="O360" i="2"/>
  <c r="O347" i="2"/>
  <c r="O335" i="2"/>
  <c r="O323" i="2"/>
  <c r="O311" i="2"/>
  <c r="O299" i="2"/>
  <c r="O287" i="2"/>
  <c r="O275" i="2"/>
  <c r="O262" i="2"/>
  <c r="O250" i="2"/>
  <c r="O238" i="2"/>
  <c r="O226" i="2"/>
  <c r="O214" i="2"/>
  <c r="O201" i="2"/>
  <c r="O188" i="2"/>
  <c r="O176" i="2"/>
  <c r="O164" i="2"/>
  <c r="O151" i="2"/>
  <c r="O139" i="2"/>
  <c r="O127" i="2"/>
  <c r="O115" i="2"/>
  <c r="O102" i="2"/>
  <c r="O89" i="2"/>
  <c r="O77" i="2"/>
  <c r="O65" i="2"/>
  <c r="O53" i="2"/>
  <c r="O41" i="2"/>
  <c r="O29" i="2"/>
  <c r="O17" i="2"/>
  <c r="O5" i="2"/>
  <c r="AD623" i="2"/>
  <c r="AD611" i="2"/>
  <c r="AD599" i="2"/>
  <c r="AD587" i="2"/>
  <c r="AD575" i="2"/>
  <c r="AD563" i="2"/>
  <c r="AD551" i="2"/>
  <c r="AD539" i="2"/>
  <c r="AD527" i="2"/>
  <c r="AD515" i="2"/>
  <c r="AD503" i="2"/>
  <c r="AD491" i="2"/>
  <c r="AD479" i="2"/>
  <c r="AD467" i="2"/>
  <c r="AD455" i="2"/>
  <c r="AD443" i="2"/>
  <c r="AD431" i="2"/>
  <c r="AD419" i="2"/>
  <c r="AD407" i="2"/>
  <c r="AD395" i="2"/>
  <c r="AD383" i="2"/>
  <c r="AD371" i="2"/>
  <c r="AD359" i="2"/>
  <c r="AD347" i="2"/>
  <c r="AD335" i="2"/>
  <c r="AD323" i="2"/>
  <c r="AD311" i="2"/>
  <c r="AD299" i="2"/>
  <c r="AD287" i="2"/>
  <c r="AD275" i="2"/>
  <c r="AD263" i="2"/>
  <c r="AD251" i="2"/>
  <c r="AD239" i="2"/>
  <c r="AD227" i="2"/>
  <c r="AD215" i="2"/>
  <c r="AD203" i="2"/>
  <c r="AD191" i="2"/>
  <c r="AD179" i="2"/>
  <c r="AD167" i="2"/>
  <c r="AD155" i="2"/>
  <c r="AD143" i="2"/>
  <c r="AD131" i="2"/>
  <c r="AD119" i="2"/>
  <c r="AD107" i="2"/>
  <c r="AD95" i="2"/>
  <c r="AD83" i="2"/>
  <c r="AD71" i="2"/>
  <c r="AD59" i="2"/>
  <c r="AD47" i="2"/>
  <c r="AD35" i="2"/>
  <c r="AD23" i="2"/>
  <c r="AD11" i="2"/>
  <c r="AH629" i="2"/>
  <c r="AH617" i="2"/>
  <c r="AH605" i="2"/>
  <c r="AH593" i="2"/>
  <c r="G260" i="2"/>
  <c r="G248" i="2"/>
  <c r="G236" i="2"/>
  <c r="G224" i="2"/>
  <c r="G212" i="2"/>
  <c r="G200" i="2"/>
  <c r="G188" i="2"/>
  <c r="G176" i="2"/>
  <c r="G164" i="2"/>
  <c r="G152" i="2"/>
  <c r="G140" i="2"/>
  <c r="G128" i="2"/>
  <c r="G116" i="2"/>
  <c r="G104" i="2"/>
  <c r="G92" i="2"/>
  <c r="G80" i="2"/>
  <c r="G68" i="2"/>
  <c r="G56" i="2"/>
  <c r="G44" i="2"/>
  <c r="G32" i="2"/>
  <c r="G20" i="2"/>
  <c r="G8" i="2"/>
  <c r="O625" i="2"/>
  <c r="O613" i="2"/>
  <c r="O599" i="2"/>
  <c r="O587" i="2"/>
  <c r="O575" i="2"/>
  <c r="O563" i="2"/>
  <c r="O551" i="2"/>
  <c r="O539" i="2"/>
  <c r="O527" i="2"/>
  <c r="O515" i="2"/>
  <c r="O503" i="2"/>
  <c r="O491" i="2"/>
  <c r="O479" i="2"/>
  <c r="O467" i="2"/>
  <c r="O455" i="2"/>
  <c r="O443" i="2"/>
  <c r="O431" i="2"/>
  <c r="O419" i="2"/>
  <c r="O407" i="2"/>
  <c r="O395" i="2"/>
  <c r="O383" i="2"/>
  <c r="O371" i="2"/>
  <c r="O359" i="2"/>
  <c r="O346" i="2"/>
  <c r="O334" i="2"/>
  <c r="O322" i="2"/>
  <c r="O310" i="2"/>
  <c r="O298" i="2"/>
  <c r="O286" i="2"/>
  <c r="O274" i="2"/>
  <c r="O261" i="2"/>
  <c r="O249" i="2"/>
  <c r="O237" i="2"/>
  <c r="O225" i="2"/>
  <c r="O213" i="2"/>
  <c r="O200" i="2"/>
  <c r="O187" i="2"/>
  <c r="O175" i="2"/>
  <c r="O163" i="2"/>
  <c r="O150" i="2"/>
  <c r="O138" i="2"/>
  <c r="O126" i="2"/>
  <c r="O114" i="2"/>
  <c r="O101" i="2"/>
  <c r="O88" i="2"/>
  <c r="O76" i="2"/>
  <c r="O64" i="2"/>
  <c r="O52" i="2"/>
  <c r="O40" i="2"/>
  <c r="O28" i="2"/>
  <c r="O16" i="2"/>
  <c r="O4" i="2"/>
  <c r="AD622" i="2"/>
  <c r="AD610" i="2"/>
  <c r="AD598" i="2"/>
  <c r="AD586" i="2"/>
  <c r="AD574" i="2"/>
  <c r="AD562" i="2"/>
  <c r="AD550" i="2"/>
  <c r="AD538" i="2"/>
  <c r="AD526" i="2"/>
  <c r="AD514" i="2"/>
  <c r="AD502" i="2"/>
  <c r="AD490" i="2"/>
  <c r="AD478" i="2"/>
  <c r="AD466" i="2"/>
  <c r="AD454" i="2"/>
  <c r="AD442" i="2"/>
  <c r="AD430" i="2"/>
  <c r="AD418" i="2"/>
  <c r="AD406" i="2"/>
  <c r="AD394" i="2"/>
  <c r="AD382" i="2"/>
  <c r="AD370" i="2"/>
  <c r="AD358" i="2"/>
  <c r="AD346" i="2"/>
  <c r="AD334" i="2"/>
  <c r="AD322" i="2"/>
  <c r="AD310" i="2"/>
  <c r="AD298" i="2"/>
  <c r="AD286" i="2"/>
  <c r="AD274" i="2"/>
  <c r="AD262" i="2"/>
  <c r="AD250" i="2"/>
  <c r="AD238" i="2"/>
  <c r="AD226" i="2"/>
  <c r="AD214" i="2"/>
  <c r="AD202" i="2"/>
  <c r="AD190" i="2"/>
  <c r="G355" i="2"/>
  <c r="G343" i="2"/>
  <c r="G331" i="2"/>
  <c r="G319" i="2"/>
  <c r="G307" i="2"/>
  <c r="G295" i="2"/>
  <c r="G283" i="2"/>
  <c r="G271" i="2"/>
  <c r="G259" i="2"/>
  <c r="G247" i="2"/>
  <c r="G235" i="2"/>
  <c r="G223" i="2"/>
  <c r="G211" i="2"/>
  <c r="G199" i="2"/>
  <c r="G187" i="2"/>
  <c r="G175" i="2"/>
  <c r="G163" i="2"/>
  <c r="G151" i="2"/>
  <c r="G139" i="2"/>
  <c r="G127" i="2"/>
  <c r="G115" i="2"/>
  <c r="G103" i="2"/>
  <c r="G91" i="2"/>
  <c r="G79" i="2"/>
  <c r="G67" i="2"/>
  <c r="G55" i="2"/>
  <c r="G43" i="2"/>
  <c r="G31" i="2"/>
  <c r="G19" i="2"/>
  <c r="G7" i="2"/>
  <c r="O624" i="2"/>
  <c r="O612" i="2"/>
  <c r="O598" i="2"/>
  <c r="O586" i="2"/>
  <c r="O574" i="2"/>
  <c r="O562" i="2"/>
  <c r="O550" i="2"/>
  <c r="O538" i="2"/>
  <c r="O526" i="2"/>
  <c r="O514" i="2"/>
  <c r="O502" i="2"/>
  <c r="O490" i="2"/>
  <c r="O478" i="2"/>
  <c r="O466" i="2"/>
  <c r="O454" i="2"/>
  <c r="O442" i="2"/>
  <c r="O430" i="2"/>
  <c r="O418" i="2"/>
  <c r="O406" i="2"/>
  <c r="O394" i="2"/>
  <c r="O382" i="2"/>
  <c r="O370" i="2"/>
  <c r="O358" i="2"/>
  <c r="O345" i="2"/>
  <c r="O333" i="2"/>
  <c r="O321" i="2"/>
  <c r="O309" i="2"/>
  <c r="O297" i="2"/>
  <c r="O285" i="2"/>
  <c r="O273" i="2"/>
  <c r="O260" i="2"/>
  <c r="O248" i="2"/>
  <c r="O236" i="2"/>
  <c r="O224" i="2"/>
  <c r="O212" i="2"/>
  <c r="O199" i="2"/>
  <c r="O186" i="2"/>
  <c r="O174" i="2"/>
  <c r="O161" i="2"/>
  <c r="O149" i="2"/>
  <c r="O137" i="2"/>
  <c r="O125" i="2"/>
  <c r="O113" i="2"/>
  <c r="O100" i="2"/>
  <c r="O87" i="2"/>
  <c r="O75" i="2"/>
  <c r="O63" i="2"/>
  <c r="O51" i="2"/>
  <c r="O39" i="2"/>
  <c r="O27" i="2"/>
  <c r="O15" i="2"/>
  <c r="O106" i="2"/>
  <c r="O96" i="2"/>
  <c r="O205" i="2"/>
  <c r="O3" i="2"/>
  <c r="O196" i="2"/>
  <c r="O162" i="2"/>
  <c r="O357" i="2"/>
  <c r="O272" i="2"/>
  <c r="O607" i="2"/>
  <c r="O610" i="2"/>
  <c r="O2" i="2"/>
  <c r="AD621" i="2"/>
  <c r="AD609" i="2"/>
  <c r="AD597" i="2"/>
  <c r="AD585" i="2"/>
  <c r="AD573" i="2"/>
  <c r="AD561" i="2"/>
  <c r="AD549" i="2"/>
  <c r="AD537" i="2"/>
  <c r="AD525" i="2"/>
  <c r="AD513" i="2"/>
  <c r="AD501" i="2"/>
  <c r="AD489" i="2"/>
  <c r="AD477" i="2"/>
  <c r="AD465" i="2"/>
  <c r="AD453" i="2"/>
  <c r="AD441" i="2"/>
  <c r="AD429" i="2"/>
  <c r="AD417" i="2"/>
  <c r="AD405" i="2"/>
  <c r="AD393" i="2"/>
  <c r="AD381" i="2"/>
  <c r="AD369" i="2"/>
  <c r="AD357" i="2"/>
  <c r="AD345" i="2"/>
  <c r="AD333" i="2"/>
  <c r="AD321" i="2"/>
  <c r="AD309" i="2"/>
  <c r="AD297" i="2"/>
  <c r="AD285" i="2"/>
  <c r="AD273" i="2"/>
  <c r="AD261" i="2"/>
  <c r="AD249" i="2"/>
  <c r="AD237" i="2"/>
  <c r="AD225" i="2"/>
  <c r="AD213" i="2"/>
  <c r="AD284" i="2"/>
  <c r="AD272" i="2"/>
  <c r="AD260" i="2"/>
  <c r="AD248" i="2"/>
  <c r="AD236" i="2"/>
  <c r="AD224" i="2"/>
  <c r="AD212" i="2"/>
  <c r="AD200" i="2"/>
  <c r="AD188" i="2"/>
  <c r="AD176" i="2"/>
  <c r="AD164" i="2"/>
  <c r="AD152" i="2"/>
  <c r="AD140" i="2"/>
  <c r="AD128" i="2"/>
  <c r="AD116" i="2"/>
  <c r="AD104" i="2"/>
  <c r="AD92" i="2"/>
  <c r="AD80" i="2"/>
  <c r="AD68" i="2"/>
  <c r="AD56" i="2"/>
  <c r="AD44" i="2"/>
  <c r="AD32" i="2"/>
  <c r="AD20" i="2"/>
  <c r="AD8" i="2"/>
  <c r="AH626" i="2"/>
  <c r="AH614" i="2"/>
  <c r="AH602" i="2"/>
  <c r="AH590" i="2"/>
  <c r="AH578" i="2"/>
  <c r="AH566" i="2"/>
  <c r="AH554" i="2"/>
  <c r="AH541" i="2"/>
  <c r="AH529" i="2"/>
  <c r="AH517" i="2"/>
  <c r="AH505" i="2"/>
  <c r="AH493" i="2"/>
  <c r="AH481" i="2"/>
  <c r="AH469" i="2"/>
  <c r="AH457" i="2"/>
  <c r="AH445" i="2"/>
  <c r="AH433" i="2"/>
  <c r="AH421" i="2"/>
  <c r="AH409" i="2"/>
  <c r="AH397" i="2"/>
  <c r="AH385" i="2"/>
  <c r="AH373" i="2"/>
  <c r="AH361" i="2"/>
  <c r="AH349" i="2"/>
  <c r="AH337" i="2"/>
  <c r="AH325" i="2"/>
  <c r="AH313" i="2"/>
  <c r="AH301" i="2"/>
  <c r="AH289" i="2"/>
  <c r="AH277" i="2"/>
  <c r="AH265" i="2"/>
  <c r="AH253" i="2"/>
  <c r="AH241" i="2"/>
  <c r="AH229" i="2"/>
  <c r="AH216" i="2"/>
  <c r="AH204" i="2"/>
  <c r="AH192" i="2"/>
  <c r="AH180" i="2"/>
  <c r="AH168" i="2"/>
  <c r="AH156" i="2"/>
  <c r="AH144" i="2"/>
  <c r="AH132" i="2"/>
  <c r="AH120" i="2"/>
  <c r="AH108" i="2"/>
  <c r="AH96" i="2"/>
  <c r="AH84" i="2"/>
  <c r="AH72" i="2"/>
  <c r="AH60" i="2"/>
  <c r="AH48" i="2"/>
  <c r="AH36" i="2"/>
  <c r="AH24" i="2"/>
  <c r="AH12" i="2"/>
  <c r="Y630" i="2"/>
  <c r="Y618" i="2"/>
  <c r="L515" i="2"/>
  <c r="L503" i="2"/>
  <c r="L491" i="2"/>
  <c r="L479" i="2"/>
  <c r="L467" i="2"/>
  <c r="L455" i="2"/>
  <c r="L443" i="2"/>
  <c r="L431" i="2"/>
  <c r="L419" i="2"/>
  <c r="L407" i="2"/>
  <c r="L395" i="2"/>
  <c r="L383" i="2"/>
  <c r="L371" i="2"/>
  <c r="L359" i="2"/>
  <c r="L347" i="2"/>
  <c r="L335" i="2"/>
  <c r="L323" i="2"/>
  <c r="L311" i="2"/>
  <c r="L299" i="2"/>
  <c r="L287" i="2"/>
  <c r="L275" i="2"/>
  <c r="L263" i="2"/>
  <c r="L251" i="2"/>
  <c r="L239" i="2"/>
  <c r="L227" i="2"/>
  <c r="L215" i="2"/>
  <c r="L203" i="2"/>
  <c r="L191" i="2"/>
  <c r="L179" i="2"/>
  <c r="L167" i="2"/>
  <c r="L155" i="2"/>
  <c r="L143" i="2"/>
  <c r="L131" i="2"/>
  <c r="L119" i="2"/>
  <c r="L107" i="2"/>
  <c r="L95" i="2"/>
  <c r="L83" i="2"/>
  <c r="L71" i="2"/>
  <c r="L59" i="2"/>
  <c r="L47" i="2"/>
  <c r="L35" i="2"/>
  <c r="L23" i="2"/>
  <c r="L11" i="2"/>
  <c r="G629" i="2"/>
  <c r="G617" i="2"/>
  <c r="G605" i="2"/>
  <c r="G593" i="2"/>
  <c r="G581" i="2"/>
  <c r="G569" i="2"/>
  <c r="G557" i="2"/>
  <c r="G545" i="2"/>
  <c r="G533" i="2"/>
  <c r="G521" i="2"/>
  <c r="G509" i="2"/>
  <c r="G497" i="2"/>
  <c r="G485" i="2"/>
  <c r="G473" i="2"/>
  <c r="G461" i="2"/>
  <c r="G449" i="2"/>
  <c r="G437" i="2"/>
  <c r="G425" i="2"/>
  <c r="G413" i="2"/>
  <c r="G401" i="2"/>
  <c r="G389" i="2"/>
  <c r="G377" i="2"/>
  <c r="G365" i="2"/>
  <c r="G353" i="2"/>
  <c r="G341" i="2"/>
  <c r="G329" i="2"/>
  <c r="G317" i="2"/>
  <c r="G305" i="2"/>
  <c r="G293" i="2"/>
  <c r="G281" i="2"/>
  <c r="G269" i="2"/>
  <c r="G257" i="2"/>
  <c r="G245" i="2"/>
  <c r="G233" i="2"/>
  <c r="G221" i="2"/>
  <c r="G209" i="2"/>
  <c r="G197" i="2"/>
  <c r="G185" i="2"/>
  <c r="G173" i="2"/>
  <c r="G161" i="2"/>
  <c r="G149" i="2"/>
  <c r="G137" i="2"/>
  <c r="G125" i="2"/>
  <c r="G113" i="2"/>
  <c r="G101" i="2"/>
  <c r="G89" i="2"/>
  <c r="G77" i="2"/>
  <c r="G65" i="2"/>
  <c r="G53" i="2"/>
  <c r="G41" i="2"/>
  <c r="G29" i="2"/>
  <c r="G17" i="2"/>
  <c r="G5" i="2"/>
  <c r="O622" i="2"/>
  <c r="O609" i="2"/>
  <c r="O596" i="2"/>
  <c r="O584" i="2"/>
  <c r="O572" i="2"/>
  <c r="O560" i="2"/>
  <c r="O548" i="2"/>
  <c r="O536" i="2"/>
  <c r="O524" i="2"/>
  <c r="O512" i="2"/>
  <c r="O500" i="2"/>
  <c r="O488" i="2"/>
  <c r="O476" i="2"/>
  <c r="O464" i="2"/>
  <c r="O452" i="2"/>
  <c r="G172" i="2"/>
  <c r="G160" i="2"/>
  <c r="G148" i="2"/>
  <c r="G136" i="2"/>
  <c r="G124" i="2"/>
  <c r="G112" i="2"/>
  <c r="G100" i="2"/>
  <c r="G88" i="2"/>
  <c r="G76" i="2"/>
  <c r="G64" i="2"/>
  <c r="G52" i="2"/>
  <c r="G40" i="2"/>
  <c r="G28" i="2"/>
  <c r="G16" i="2"/>
  <c r="G4" i="2"/>
  <c r="O621" i="2"/>
  <c r="O608" i="2"/>
  <c r="O595" i="2"/>
  <c r="O583" i="2"/>
  <c r="O571" i="2"/>
  <c r="O559" i="2"/>
  <c r="O547" i="2"/>
  <c r="O535" i="2"/>
  <c r="O523" i="2"/>
  <c r="O511" i="2"/>
  <c r="O499" i="2"/>
  <c r="O487" i="2"/>
  <c r="O475" i="2"/>
  <c r="O463" i="2"/>
  <c r="O451" i="2"/>
  <c r="O439" i="2"/>
  <c r="O427" i="2"/>
  <c r="O415" i="2"/>
  <c r="O403" i="2"/>
  <c r="O391" i="2"/>
  <c r="O379" i="2"/>
  <c r="O367" i="2"/>
  <c r="O354" i="2"/>
  <c r="O342" i="2"/>
  <c r="O330" i="2"/>
  <c r="O318" i="2"/>
  <c r="O306" i="2"/>
  <c r="O294" i="2"/>
  <c r="O282" i="2"/>
  <c r="O269" i="2"/>
  <c r="O257" i="2"/>
  <c r="O245" i="2"/>
  <c r="O233" i="2"/>
  <c r="O221" i="2"/>
  <c r="O209" i="2"/>
  <c r="O195" i="2"/>
  <c r="O183" i="2"/>
  <c r="O171" i="2"/>
  <c r="O158" i="2"/>
  <c r="O146" i="2"/>
  <c r="O134" i="2"/>
  <c r="O122" i="2"/>
  <c r="O110" i="2"/>
  <c r="O97" i="2"/>
  <c r="O84" i="2"/>
  <c r="O72" i="2"/>
  <c r="O60" i="2"/>
  <c r="O48" i="2"/>
  <c r="O36" i="2"/>
  <c r="O24" i="2"/>
  <c r="O12" i="2"/>
  <c r="AD630" i="2"/>
  <c r="AD618" i="2"/>
  <c r="AD606" i="2"/>
  <c r="AD594" i="2"/>
  <c r="AD582" i="2"/>
  <c r="AD570" i="2"/>
  <c r="AD558" i="2"/>
  <c r="AD546" i="2"/>
  <c r="AD534" i="2"/>
  <c r="AD522" i="2"/>
  <c r="AD510" i="2"/>
  <c r="AD498" i="2"/>
  <c r="AD486" i="2"/>
  <c r="AD474" i="2"/>
  <c r="AD462" i="2"/>
  <c r="AD450" i="2"/>
  <c r="AD438" i="2"/>
  <c r="AD426" i="2"/>
  <c r="AD414" i="2"/>
  <c r="AD402" i="2"/>
  <c r="AD390" i="2"/>
  <c r="AD378" i="2"/>
  <c r="AD366" i="2"/>
  <c r="AD354" i="2"/>
  <c r="AD342" i="2"/>
  <c r="AD330" i="2"/>
  <c r="AD318" i="2"/>
  <c r="AD306" i="2"/>
  <c r="AD294" i="2"/>
  <c r="AD282" i="2"/>
  <c r="AD270" i="2"/>
  <c r="AD258" i="2"/>
  <c r="AD246" i="2"/>
  <c r="AD234" i="2"/>
  <c r="AD222" i="2"/>
  <c r="AD210" i="2"/>
  <c r="AD198" i="2"/>
  <c r="AD186" i="2"/>
  <c r="AD174" i="2"/>
  <c r="AD162" i="2"/>
  <c r="AD150" i="2"/>
  <c r="AD138" i="2"/>
  <c r="AD126" i="2"/>
  <c r="AD114" i="2"/>
  <c r="AD102" i="2"/>
  <c r="AD90" i="2"/>
  <c r="AD78" i="2"/>
  <c r="G519" i="2"/>
  <c r="G507" i="2"/>
  <c r="G495" i="2"/>
  <c r="G483" i="2"/>
  <c r="G471" i="2"/>
  <c r="G459" i="2"/>
  <c r="G447" i="2"/>
  <c r="G435" i="2"/>
  <c r="G423" i="2"/>
  <c r="G411" i="2"/>
  <c r="G399" i="2"/>
  <c r="G387" i="2"/>
  <c r="G375" i="2"/>
  <c r="G363" i="2"/>
  <c r="G351" i="2"/>
  <c r="G339" i="2"/>
  <c r="G327" i="2"/>
  <c r="G315" i="2"/>
  <c r="G303" i="2"/>
  <c r="G291" i="2"/>
  <c r="G279" i="2"/>
  <c r="G267" i="2"/>
  <c r="G255" i="2"/>
  <c r="G243" i="2"/>
  <c r="G231" i="2"/>
  <c r="G219" i="2"/>
  <c r="G207" i="2"/>
  <c r="G195" i="2"/>
  <c r="G183" i="2"/>
  <c r="G171" i="2"/>
  <c r="G159" i="2"/>
  <c r="G147" i="2"/>
  <c r="G135" i="2"/>
  <c r="G123" i="2"/>
  <c r="G111" i="2"/>
  <c r="G99" i="2"/>
  <c r="G87" i="2"/>
  <c r="G75" i="2"/>
  <c r="G63" i="2"/>
  <c r="G51" i="2"/>
  <c r="G39" i="2"/>
  <c r="G27" i="2"/>
  <c r="G15" i="2"/>
  <c r="G3" i="2"/>
  <c r="O620" i="2"/>
  <c r="O606" i="2"/>
  <c r="O594" i="2"/>
  <c r="O582" i="2"/>
  <c r="O570" i="2"/>
  <c r="O558" i="2"/>
  <c r="O546" i="2"/>
  <c r="O534" i="2"/>
  <c r="O522" i="2"/>
  <c r="O510" i="2"/>
  <c r="O498" i="2"/>
  <c r="O486" i="2"/>
  <c r="O474" i="2"/>
  <c r="O462" i="2"/>
  <c r="O450" i="2"/>
  <c r="O438" i="2"/>
  <c r="O426" i="2"/>
  <c r="O414" i="2"/>
  <c r="O402" i="2"/>
  <c r="O390" i="2"/>
  <c r="O378" i="2"/>
  <c r="O366" i="2"/>
  <c r="O353" i="2"/>
  <c r="O341" i="2"/>
  <c r="O329" i="2"/>
  <c r="O317" i="2"/>
  <c r="O305" i="2"/>
  <c r="O293" i="2"/>
  <c r="O281" i="2"/>
  <c r="O268" i="2"/>
  <c r="O256" i="2"/>
  <c r="O244" i="2"/>
  <c r="O232" i="2"/>
  <c r="O220" i="2"/>
  <c r="O208" i="2"/>
  <c r="O194" i="2"/>
  <c r="O182" i="2"/>
  <c r="O170" i="2"/>
  <c r="O157" i="2"/>
  <c r="O145" i="2"/>
  <c r="O133" i="2"/>
  <c r="O121" i="2"/>
  <c r="O109" i="2"/>
  <c r="O95" i="2"/>
  <c r="O83" i="2"/>
  <c r="O71" i="2"/>
  <c r="O59" i="2"/>
  <c r="O47" i="2"/>
  <c r="O35" i="2"/>
  <c r="O23" i="2"/>
  <c r="O11" i="2"/>
  <c r="AD629" i="2"/>
  <c r="AD617" i="2"/>
  <c r="AD605" i="2"/>
  <c r="AD593" i="2"/>
  <c r="AD581" i="2"/>
  <c r="AD569" i="2"/>
  <c r="AD557" i="2"/>
  <c r="AD545" i="2"/>
  <c r="AD533" i="2"/>
  <c r="AD521" i="2"/>
  <c r="AD509" i="2"/>
  <c r="AD497" i="2"/>
  <c r="AD485" i="2"/>
  <c r="AD473" i="2"/>
  <c r="AD461" i="2"/>
  <c r="AD449" i="2"/>
  <c r="AD437" i="2"/>
  <c r="AD425" i="2"/>
  <c r="AD413" i="2"/>
  <c r="L248" i="2"/>
  <c r="L236" i="2"/>
  <c r="L224" i="2"/>
  <c r="L212" i="2"/>
  <c r="L200" i="2"/>
  <c r="L188" i="2"/>
  <c r="L176" i="2"/>
  <c r="L164" i="2"/>
  <c r="L152" i="2"/>
  <c r="L140" i="2"/>
  <c r="L128" i="2"/>
  <c r="L116" i="2"/>
  <c r="L104" i="2"/>
  <c r="L92" i="2"/>
  <c r="L80" i="2"/>
  <c r="L68" i="2"/>
  <c r="L56" i="2"/>
  <c r="L44" i="2"/>
  <c r="L32" i="2"/>
  <c r="L20" i="2"/>
  <c r="L8" i="2"/>
  <c r="G626" i="2"/>
  <c r="G614" i="2"/>
  <c r="G602" i="2"/>
  <c r="G590" i="2"/>
  <c r="G578" i="2"/>
  <c r="G566" i="2"/>
  <c r="G554" i="2"/>
  <c r="G542" i="2"/>
  <c r="G530" i="2"/>
  <c r="G518" i="2"/>
  <c r="G506" i="2"/>
  <c r="G494" i="2"/>
  <c r="G482" i="2"/>
  <c r="G470" i="2"/>
  <c r="G458" i="2"/>
  <c r="G446" i="2"/>
  <c r="G434" i="2"/>
  <c r="G422" i="2"/>
  <c r="G410" i="2"/>
  <c r="G398" i="2"/>
  <c r="G386" i="2"/>
  <c r="G374" i="2"/>
  <c r="G362" i="2"/>
  <c r="G350" i="2"/>
  <c r="G338" i="2"/>
  <c r="G326" i="2"/>
  <c r="G314" i="2"/>
  <c r="G302" i="2"/>
  <c r="G290" i="2"/>
  <c r="G278" i="2"/>
  <c r="G266" i="2"/>
  <c r="G254" i="2"/>
  <c r="G242" i="2"/>
  <c r="G230" i="2"/>
  <c r="G218" i="2"/>
  <c r="G206" i="2"/>
  <c r="G194" i="2"/>
  <c r="G182" i="2"/>
  <c r="G170" i="2"/>
  <c r="G158" i="2"/>
  <c r="G146" i="2"/>
  <c r="G134" i="2"/>
  <c r="G122" i="2"/>
  <c r="G110" i="2"/>
  <c r="G98" i="2"/>
  <c r="G86" i="2"/>
  <c r="G74" i="2"/>
  <c r="G62" i="2"/>
  <c r="G50" i="2"/>
  <c r="G38" i="2"/>
  <c r="G26" i="2"/>
  <c r="G14" i="2"/>
  <c r="O631" i="2"/>
  <c r="O619" i="2"/>
  <c r="O605" i="2"/>
  <c r="O593" i="2"/>
  <c r="O581" i="2"/>
  <c r="O569" i="2"/>
  <c r="O557" i="2"/>
  <c r="O545" i="2"/>
  <c r="O533" i="2"/>
  <c r="O521" i="2"/>
  <c r="O509" i="2"/>
  <c r="O497" i="2"/>
  <c r="O485" i="2"/>
  <c r="O473" i="2"/>
  <c r="O461" i="2"/>
  <c r="O449" i="2"/>
  <c r="O437" i="2"/>
  <c r="O425" i="2"/>
  <c r="O413" i="2"/>
  <c r="O401" i="2"/>
  <c r="O389" i="2"/>
  <c r="O377" i="2"/>
  <c r="O365" i="2"/>
  <c r="O352" i="2"/>
  <c r="O340" i="2"/>
  <c r="O328" i="2"/>
  <c r="O316" i="2"/>
  <c r="O304" i="2"/>
  <c r="O292" i="2"/>
  <c r="O280" i="2"/>
  <c r="O267" i="2"/>
  <c r="O255" i="2"/>
  <c r="O243" i="2"/>
  <c r="O231" i="2"/>
  <c r="O219" i="2"/>
  <c r="O207" i="2"/>
  <c r="O193" i="2"/>
  <c r="O181" i="2"/>
  <c r="O169" i="2"/>
  <c r="O156" i="2"/>
  <c r="O144" i="2"/>
  <c r="O132" i="2"/>
  <c r="O120" i="2"/>
  <c r="O108" i="2"/>
  <c r="L343" i="2"/>
  <c r="L331" i="2"/>
  <c r="L319" i="2"/>
  <c r="L307" i="2"/>
  <c r="L295" i="2"/>
  <c r="L283" i="2"/>
  <c r="L271" i="2"/>
  <c r="L259" i="2"/>
  <c r="L247" i="2"/>
  <c r="L235" i="2"/>
  <c r="L223" i="2"/>
  <c r="L211" i="2"/>
  <c r="L199" i="2"/>
  <c r="L187" i="2"/>
  <c r="L175" i="2"/>
  <c r="L163" i="2"/>
  <c r="L151" i="2"/>
  <c r="L139" i="2"/>
  <c r="L127" i="2"/>
  <c r="L115" i="2"/>
  <c r="L103" i="2"/>
  <c r="L91" i="2"/>
  <c r="L79" i="2"/>
  <c r="L67" i="2"/>
  <c r="L55" i="2"/>
  <c r="L43" i="2"/>
  <c r="L31" i="2"/>
  <c r="L19" i="2"/>
  <c r="L7" i="2"/>
  <c r="G625" i="2"/>
  <c r="G613" i="2"/>
  <c r="G601" i="2"/>
  <c r="G589" i="2"/>
  <c r="G577" i="2"/>
  <c r="G565" i="2"/>
  <c r="G553" i="2"/>
  <c r="G541" i="2"/>
  <c r="G529" i="2"/>
  <c r="G517" i="2"/>
  <c r="G505" i="2"/>
  <c r="G493" i="2"/>
  <c r="G481" i="2"/>
  <c r="G469" i="2"/>
  <c r="G457" i="2"/>
  <c r="G445" i="2"/>
  <c r="G433" i="2"/>
  <c r="G421" i="2"/>
  <c r="G409" i="2"/>
  <c r="G397" i="2"/>
  <c r="G385" i="2"/>
  <c r="G373" i="2"/>
  <c r="G361" i="2"/>
  <c r="G349" i="2"/>
  <c r="G337" i="2"/>
  <c r="G325" i="2"/>
  <c r="G313" i="2"/>
  <c r="G301" i="2"/>
  <c r="G289" i="2"/>
  <c r="G277" i="2"/>
  <c r="G265" i="2"/>
  <c r="G253" i="2"/>
  <c r="G241" i="2"/>
  <c r="G229" i="2"/>
  <c r="G217" i="2"/>
  <c r="G205" i="2"/>
  <c r="G193" i="2"/>
  <c r="G181" i="2"/>
  <c r="G169" i="2"/>
  <c r="G157" i="2"/>
  <c r="G145" i="2"/>
  <c r="G133" i="2"/>
  <c r="G121" i="2"/>
  <c r="G109" i="2"/>
  <c r="G97" i="2"/>
  <c r="G85" i="2"/>
  <c r="G73" i="2"/>
  <c r="G61" i="2"/>
  <c r="G49" i="2"/>
  <c r="G37" i="2"/>
  <c r="G25" i="2"/>
  <c r="G13" i="2"/>
  <c r="O630" i="2"/>
  <c r="O618" i="2"/>
  <c r="O604" i="2"/>
  <c r="O592" i="2"/>
  <c r="O580" i="2"/>
  <c r="O568" i="2"/>
  <c r="O556" i="2"/>
  <c r="O544" i="2"/>
  <c r="O532" i="2"/>
  <c r="O520" i="2"/>
  <c r="O508" i="2"/>
  <c r="O496" i="2"/>
  <c r="O484" i="2"/>
  <c r="O472" i="2"/>
  <c r="O460" i="2"/>
  <c r="O448" i="2"/>
  <c r="O436" i="2"/>
  <c r="O424" i="2"/>
  <c r="O412" i="2"/>
  <c r="O400" i="2"/>
  <c r="O388" i="2"/>
  <c r="O376" i="2"/>
  <c r="O364" i="2"/>
  <c r="O351" i="2"/>
  <c r="O339" i="2"/>
  <c r="O327" i="2"/>
  <c r="O315" i="2"/>
  <c r="O303" i="2"/>
  <c r="O291" i="2"/>
  <c r="O279" i="2"/>
  <c r="O266" i="2"/>
  <c r="O254" i="2"/>
  <c r="Y623" i="2"/>
  <c r="Y611" i="2"/>
  <c r="Y599" i="2"/>
  <c r="Y587" i="2"/>
  <c r="Y575" i="2"/>
  <c r="Y563" i="2"/>
  <c r="Y551" i="2"/>
  <c r="Y539" i="2"/>
  <c r="Y527" i="2"/>
  <c r="Y515" i="2"/>
  <c r="Y503" i="2"/>
  <c r="Y491" i="2"/>
  <c r="Y479" i="2"/>
  <c r="Y467" i="2"/>
  <c r="Y455" i="2"/>
  <c r="Y443" i="2"/>
  <c r="Y431" i="2"/>
  <c r="Y419" i="2"/>
  <c r="Y407" i="2"/>
  <c r="Y395" i="2"/>
  <c r="Y383" i="2"/>
  <c r="Y371" i="2"/>
  <c r="Y359" i="2"/>
  <c r="Y347" i="2"/>
  <c r="Y335" i="2"/>
  <c r="Y323" i="2"/>
  <c r="Y311" i="2"/>
  <c r="Y299" i="2"/>
  <c r="Y287" i="2"/>
  <c r="Y275" i="2"/>
  <c r="Y263" i="2"/>
  <c r="Y251" i="2"/>
  <c r="Y239" i="2"/>
  <c r="Y227" i="2"/>
  <c r="Y215" i="2"/>
  <c r="Y203" i="2"/>
  <c r="Y191" i="2"/>
  <c r="Y179" i="2"/>
  <c r="Y167" i="2"/>
  <c r="Y155" i="2"/>
  <c r="Y143" i="2"/>
  <c r="Y131" i="2"/>
  <c r="Y119" i="2"/>
  <c r="Y107" i="2"/>
  <c r="Y95" i="2"/>
  <c r="Y83" i="2"/>
  <c r="Y71" i="2"/>
  <c r="AD72" i="2"/>
  <c r="AD60" i="2"/>
  <c r="AD48" i="2"/>
  <c r="AD36" i="2"/>
  <c r="AD24" i="2"/>
  <c r="AD12" i="2"/>
  <c r="AH630" i="2"/>
  <c r="AH618" i="2"/>
  <c r="AH606" i="2"/>
  <c r="AH594" i="2"/>
  <c r="AH582" i="2"/>
  <c r="AH570" i="2"/>
  <c r="AH558" i="2"/>
  <c r="AH545" i="2"/>
  <c r="AH533" i="2"/>
  <c r="AH521" i="2"/>
  <c r="AH509" i="2"/>
  <c r="AH497" i="2"/>
  <c r="AH485" i="2"/>
  <c r="AH473" i="2"/>
  <c r="AH461" i="2"/>
  <c r="AH449" i="2"/>
  <c r="AH437" i="2"/>
  <c r="AH425" i="2"/>
  <c r="AH413" i="2"/>
  <c r="AH401" i="2"/>
  <c r="AH389" i="2"/>
  <c r="AH377" i="2"/>
  <c r="AH365" i="2"/>
  <c r="AH353" i="2"/>
  <c r="AH341" i="2"/>
  <c r="AH329" i="2"/>
  <c r="AH317" i="2"/>
  <c r="AH305" i="2"/>
  <c r="AH293" i="2"/>
  <c r="AH281" i="2"/>
  <c r="AH269" i="2"/>
  <c r="AH257" i="2"/>
  <c r="AH245" i="2"/>
  <c r="AH233" i="2"/>
  <c r="AH220" i="2"/>
  <c r="AH208" i="2"/>
  <c r="AH196" i="2"/>
  <c r="AH184" i="2"/>
  <c r="AH172" i="2"/>
  <c r="AH160" i="2"/>
  <c r="AH148" i="2"/>
  <c r="AH136" i="2"/>
  <c r="AH124" i="2"/>
  <c r="AH112" i="2"/>
  <c r="AH100" i="2"/>
  <c r="AH88" i="2"/>
  <c r="AH76" i="2"/>
  <c r="AH64" i="2"/>
  <c r="AH52" i="2"/>
  <c r="AH40" i="2"/>
  <c r="AH28" i="2"/>
  <c r="AH16" i="2"/>
  <c r="AH4" i="2"/>
  <c r="Y622" i="2"/>
  <c r="Y610" i="2"/>
  <c r="Y598" i="2"/>
  <c r="Y586" i="2"/>
  <c r="Y574" i="2"/>
  <c r="Y562" i="2"/>
  <c r="Y550" i="2"/>
  <c r="Y538" i="2"/>
  <c r="Y526" i="2"/>
  <c r="Y514" i="2"/>
  <c r="Y502" i="2"/>
  <c r="Y490" i="2"/>
  <c r="Y478" i="2"/>
  <c r="Y466" i="2"/>
  <c r="Y454" i="2"/>
  <c r="Y442" i="2"/>
  <c r="Y430" i="2"/>
  <c r="Y418" i="2"/>
  <c r="Y406" i="2"/>
  <c r="Y394" i="2"/>
  <c r="Y382" i="2"/>
  <c r="Y370" i="2"/>
  <c r="Y358" i="2"/>
  <c r="Y346" i="2"/>
  <c r="Y334" i="2"/>
  <c r="Y322" i="2"/>
  <c r="Y310" i="2"/>
  <c r="Y298" i="2"/>
  <c r="Y286" i="2"/>
  <c r="Y274" i="2"/>
  <c r="Y262" i="2"/>
  <c r="Y250" i="2"/>
  <c r="Y238" i="2"/>
  <c r="Y226" i="2"/>
  <c r="Y214" i="2"/>
  <c r="Y202" i="2"/>
  <c r="Y190" i="2"/>
  <c r="Y178" i="2"/>
  <c r="Y166" i="2"/>
  <c r="Y154" i="2"/>
  <c r="Y142" i="2"/>
  <c r="Y130" i="2"/>
  <c r="Y118" i="2"/>
  <c r="Y106" i="2"/>
  <c r="Y94" i="2"/>
  <c r="AH581" i="2"/>
  <c r="AH569" i="2"/>
  <c r="AH557" i="2"/>
  <c r="AH544" i="2"/>
  <c r="AH532" i="2"/>
  <c r="AH520" i="2"/>
  <c r="AH508" i="2"/>
  <c r="AH496" i="2"/>
  <c r="AH484" i="2"/>
  <c r="AH472" i="2"/>
  <c r="AH460" i="2"/>
  <c r="AH448" i="2"/>
  <c r="AH436" i="2"/>
  <c r="AH424" i="2"/>
  <c r="AH412" i="2"/>
  <c r="AH400" i="2"/>
  <c r="AH388" i="2"/>
  <c r="AH376" i="2"/>
  <c r="AH364" i="2"/>
  <c r="AH352" i="2"/>
  <c r="AH340" i="2"/>
  <c r="AH328" i="2"/>
  <c r="AH316" i="2"/>
  <c r="AH304" i="2"/>
  <c r="AH292" i="2"/>
  <c r="AH280" i="2"/>
  <c r="AH268" i="2"/>
  <c r="AH256" i="2"/>
  <c r="AH244" i="2"/>
  <c r="AH232" i="2"/>
  <c r="AH219" i="2"/>
  <c r="AH207" i="2"/>
  <c r="AH195" i="2"/>
  <c r="AH183" i="2"/>
  <c r="AH171" i="2"/>
  <c r="AH159" i="2"/>
  <c r="AH147" i="2"/>
  <c r="AH135" i="2"/>
  <c r="AH123" i="2"/>
  <c r="AH111" i="2"/>
  <c r="AH99" i="2"/>
  <c r="AH87" i="2"/>
  <c r="AH75" i="2"/>
  <c r="AH63" i="2"/>
  <c r="AH51" i="2"/>
  <c r="AH39" i="2"/>
  <c r="AH27" i="2"/>
  <c r="AH15" i="2"/>
  <c r="AH3" i="2"/>
  <c r="Y621" i="2"/>
  <c r="Y609" i="2"/>
  <c r="Y597" i="2"/>
  <c r="Y585" i="2"/>
  <c r="Y573" i="2"/>
  <c r="Y561" i="2"/>
  <c r="Y549" i="2"/>
  <c r="Y537" i="2"/>
  <c r="Y525" i="2"/>
  <c r="Y513" i="2"/>
  <c r="Y501" i="2"/>
  <c r="Y489" i="2"/>
  <c r="Y477" i="2"/>
  <c r="Y465" i="2"/>
  <c r="Y453" i="2"/>
  <c r="Y441" i="2"/>
  <c r="Y429" i="2"/>
  <c r="Y417" i="2"/>
  <c r="Y405" i="2"/>
  <c r="Y393" i="2"/>
  <c r="Y381" i="2"/>
  <c r="Y369" i="2"/>
  <c r="Y357" i="2"/>
  <c r="Y345" i="2"/>
  <c r="Y333" i="2"/>
  <c r="Y321" i="2"/>
  <c r="Y309" i="2"/>
  <c r="Y297" i="2"/>
  <c r="Y285" i="2"/>
  <c r="Y273" i="2"/>
  <c r="Y261" i="2"/>
  <c r="Y249" i="2"/>
  <c r="Y237" i="2"/>
  <c r="Y225" i="2"/>
  <c r="Y213" i="2"/>
  <c r="Y201" i="2"/>
  <c r="Y189" i="2"/>
  <c r="Y177" i="2"/>
  <c r="Y165" i="2"/>
  <c r="Y153" i="2"/>
  <c r="AD178" i="2"/>
  <c r="AD166" i="2"/>
  <c r="AD154" i="2"/>
  <c r="AD142" i="2"/>
  <c r="AD130" i="2"/>
  <c r="AD118" i="2"/>
  <c r="AD106" i="2"/>
  <c r="AD94" i="2"/>
  <c r="AD82" i="2"/>
  <c r="AD70" i="2"/>
  <c r="AD58" i="2"/>
  <c r="AD46" i="2"/>
  <c r="AD34" i="2"/>
  <c r="AD22" i="2"/>
  <c r="AD10" i="2"/>
  <c r="AH628" i="2"/>
  <c r="AH616" i="2"/>
  <c r="AH604" i="2"/>
  <c r="AH592" i="2"/>
  <c r="AH580" i="2"/>
  <c r="AH568" i="2"/>
  <c r="AH556" i="2"/>
  <c r="AH543" i="2"/>
  <c r="AH531" i="2"/>
  <c r="AH519" i="2"/>
  <c r="AH507" i="2"/>
  <c r="AH495" i="2"/>
  <c r="AH483" i="2"/>
  <c r="AH471" i="2"/>
  <c r="AH459" i="2"/>
  <c r="AH447" i="2"/>
  <c r="AH435" i="2"/>
  <c r="AH423" i="2"/>
  <c r="AH411" i="2"/>
  <c r="AH399" i="2"/>
  <c r="AH387" i="2"/>
  <c r="AH375" i="2"/>
  <c r="AH363" i="2"/>
  <c r="AH351" i="2"/>
  <c r="AH339" i="2"/>
  <c r="AH327" i="2"/>
  <c r="AH315" i="2"/>
  <c r="AH303" i="2"/>
  <c r="AH291" i="2"/>
  <c r="AH279" i="2"/>
  <c r="AH267" i="2"/>
  <c r="AH255" i="2"/>
  <c r="AH243" i="2"/>
  <c r="AH231" i="2"/>
  <c r="AH218" i="2"/>
  <c r="AH206" i="2"/>
  <c r="AH194" i="2"/>
  <c r="AH182" i="2"/>
  <c r="AH170" i="2"/>
  <c r="AH158" i="2"/>
  <c r="AH146" i="2"/>
  <c r="AH134" i="2"/>
  <c r="AH122" i="2"/>
  <c r="AH110" i="2"/>
  <c r="AH98" i="2"/>
  <c r="AH86" i="2"/>
  <c r="AH74" i="2"/>
  <c r="AH62" i="2"/>
  <c r="AH50" i="2"/>
  <c r="AH38" i="2"/>
  <c r="AH26" i="2"/>
  <c r="AH14" i="2"/>
  <c r="G2" i="2"/>
  <c r="Y620" i="2"/>
  <c r="Y608" i="2"/>
  <c r="Y596" i="2"/>
  <c r="Y584" i="2"/>
  <c r="Y572" i="2"/>
  <c r="Y560" i="2"/>
  <c r="Y548" i="2"/>
  <c r="Y536" i="2"/>
  <c r="Y524" i="2"/>
  <c r="Y512" i="2"/>
  <c r="Y500" i="2"/>
  <c r="Y488" i="2"/>
  <c r="Y476" i="2"/>
  <c r="Y464" i="2"/>
  <c r="Y452" i="2"/>
  <c r="Y440" i="2"/>
  <c r="Y428" i="2"/>
  <c r="Y416" i="2"/>
  <c r="Y404" i="2"/>
  <c r="Y392" i="2"/>
  <c r="Y380" i="2"/>
  <c r="Y368" i="2"/>
  <c r="Y356" i="2"/>
  <c r="Y344" i="2"/>
  <c r="Y332" i="2"/>
  <c r="Y320" i="2"/>
  <c r="Y308" i="2"/>
  <c r="Y296" i="2"/>
  <c r="Y284" i="2"/>
  <c r="Y272" i="2"/>
  <c r="Y260" i="2"/>
  <c r="Y248" i="2"/>
  <c r="Y236" i="2"/>
  <c r="Y224" i="2"/>
  <c r="Y212" i="2"/>
  <c r="Y200" i="2"/>
  <c r="Y188" i="2"/>
  <c r="Y176" i="2"/>
  <c r="Y164" i="2"/>
  <c r="AD201" i="2"/>
  <c r="AD189" i="2"/>
  <c r="AD177" i="2"/>
  <c r="AD165" i="2"/>
  <c r="AD153" i="2"/>
  <c r="AD141" i="2"/>
  <c r="AD129" i="2"/>
  <c r="AD117" i="2"/>
  <c r="AD105" i="2"/>
  <c r="AD93" i="2"/>
  <c r="AD81" i="2"/>
  <c r="AD69" i="2"/>
  <c r="AD57" i="2"/>
  <c r="AD45" i="2"/>
  <c r="AD33" i="2"/>
  <c r="AD21" i="2"/>
  <c r="AD9" i="2"/>
  <c r="AH627" i="2"/>
  <c r="AH615" i="2"/>
  <c r="AH603" i="2"/>
  <c r="AH591" i="2"/>
  <c r="AH579" i="2"/>
  <c r="AH567" i="2"/>
  <c r="AH555" i="2"/>
  <c r="AH542" i="2"/>
  <c r="AH530" i="2"/>
  <c r="AH518" i="2"/>
  <c r="AH506" i="2"/>
  <c r="AH494" i="2"/>
  <c r="AH482" i="2"/>
  <c r="AH470" i="2"/>
  <c r="AH458" i="2"/>
  <c r="AH446" i="2"/>
  <c r="AH434" i="2"/>
  <c r="AH422" i="2"/>
  <c r="AH410" i="2"/>
  <c r="AH398" i="2"/>
  <c r="AH386" i="2"/>
  <c r="AH374" i="2"/>
  <c r="AH362" i="2"/>
  <c r="AH350" i="2"/>
  <c r="AH338" i="2"/>
  <c r="AH326" i="2"/>
  <c r="AH314" i="2"/>
  <c r="AH302" i="2"/>
  <c r="AH290" i="2"/>
  <c r="AH278" i="2"/>
  <c r="AH266" i="2"/>
  <c r="AH254" i="2"/>
  <c r="AH242" i="2"/>
  <c r="AH230" i="2"/>
  <c r="AH217" i="2"/>
  <c r="AH205" i="2"/>
  <c r="AH193" i="2"/>
  <c r="AH181" i="2"/>
  <c r="AH169" i="2"/>
  <c r="AH157" i="2"/>
  <c r="AH145" i="2"/>
  <c r="AH133" i="2"/>
  <c r="AH121" i="2"/>
  <c r="AH109" i="2"/>
  <c r="AH97" i="2"/>
  <c r="AH85" i="2"/>
  <c r="AH73" i="2"/>
  <c r="AH61" i="2"/>
  <c r="AH49" i="2"/>
  <c r="AH37" i="2"/>
  <c r="AH25" i="2"/>
  <c r="AH13" i="2"/>
  <c r="Y631" i="2"/>
  <c r="Y619" i="2"/>
  <c r="Y607" i="2"/>
  <c r="Y595" i="2"/>
  <c r="Y583" i="2"/>
  <c r="Y571" i="2"/>
  <c r="Y559" i="2"/>
  <c r="Y547" i="2"/>
  <c r="Y535" i="2"/>
  <c r="Y523" i="2"/>
  <c r="Y511" i="2"/>
  <c r="Y499" i="2"/>
  <c r="Y487" i="2"/>
  <c r="Y475" i="2"/>
  <c r="Y463" i="2"/>
  <c r="Y451" i="2"/>
  <c r="Y439" i="2"/>
  <c r="Y427" i="2"/>
  <c r="Y415" i="2"/>
  <c r="Y403" i="2"/>
  <c r="Y391" i="2"/>
  <c r="Y379" i="2"/>
  <c r="Y367" i="2"/>
  <c r="Y355" i="2"/>
  <c r="Y343" i="2"/>
  <c r="Y331" i="2"/>
  <c r="Y319" i="2"/>
  <c r="Y307" i="2"/>
  <c r="Y295" i="2"/>
  <c r="Y283" i="2"/>
  <c r="Y271" i="2"/>
  <c r="Y259" i="2"/>
  <c r="Y247" i="2"/>
  <c r="Y235" i="2"/>
  <c r="Y223" i="2"/>
  <c r="Y211" i="2"/>
  <c r="Y199" i="2"/>
  <c r="Y187" i="2"/>
  <c r="Y175" i="2"/>
  <c r="Y163" i="2"/>
  <c r="Y151" i="2"/>
  <c r="Y139" i="2"/>
  <c r="Y127" i="2"/>
  <c r="Y115" i="2"/>
  <c r="Y103" i="2"/>
  <c r="Y606" i="2"/>
  <c r="Y594" i="2"/>
  <c r="Y582" i="2"/>
  <c r="Y570" i="2"/>
  <c r="Y558" i="2"/>
  <c r="Y546" i="2"/>
  <c r="Y534" i="2"/>
  <c r="Y522" i="2"/>
  <c r="Y510" i="2"/>
  <c r="Y498" i="2"/>
  <c r="Y486" i="2"/>
  <c r="Y474" i="2"/>
  <c r="Y462" i="2"/>
  <c r="Y450" i="2"/>
  <c r="Y438" i="2"/>
  <c r="Y426" i="2"/>
  <c r="Y414" i="2"/>
  <c r="Y402" i="2"/>
  <c r="Y390" i="2"/>
  <c r="Y378" i="2"/>
  <c r="Y366" i="2"/>
  <c r="Y354" i="2"/>
  <c r="Y342" i="2"/>
  <c r="Y330" i="2"/>
  <c r="Y318" i="2"/>
  <c r="Y306" i="2"/>
  <c r="Y294" i="2"/>
  <c r="Y282" i="2"/>
  <c r="Y270" i="2"/>
  <c r="Y258" i="2"/>
  <c r="Y246" i="2"/>
  <c r="Y234" i="2"/>
  <c r="Y222" i="2"/>
  <c r="Y210" i="2"/>
  <c r="Y198" i="2"/>
  <c r="Y186" i="2"/>
  <c r="Y174" i="2"/>
  <c r="Y162" i="2"/>
  <c r="Y150" i="2"/>
  <c r="Y138" i="2"/>
  <c r="Y126" i="2"/>
  <c r="O440" i="2"/>
  <c r="O428" i="2"/>
  <c r="O416" i="2"/>
  <c r="O404" i="2"/>
  <c r="O392" i="2"/>
  <c r="O380" i="2"/>
  <c r="O368" i="2"/>
  <c r="O355" i="2"/>
  <c r="O343" i="2"/>
  <c r="O331" i="2"/>
  <c r="O319" i="2"/>
  <c r="O307" i="2"/>
  <c r="O295" i="2"/>
  <c r="O283" i="2"/>
  <c r="O270" i="2"/>
  <c r="O258" i="2"/>
  <c r="O246" i="2"/>
  <c r="O234" i="2"/>
  <c r="O222" i="2"/>
  <c r="O210" i="2"/>
  <c r="O197" i="2"/>
  <c r="O184" i="2"/>
  <c r="O172" i="2"/>
  <c r="O159" i="2"/>
  <c r="O147" i="2"/>
  <c r="O135" i="2"/>
  <c r="O123" i="2"/>
  <c r="O111" i="2"/>
  <c r="O98" i="2"/>
  <c r="O85" i="2"/>
  <c r="O73" i="2"/>
  <c r="O61" i="2"/>
  <c r="O49" i="2"/>
  <c r="O37" i="2"/>
  <c r="O25" i="2"/>
  <c r="O13" i="2"/>
  <c r="AD631" i="2"/>
  <c r="AD619" i="2"/>
  <c r="AD607" i="2"/>
  <c r="AD595" i="2"/>
  <c r="AD583" i="2"/>
  <c r="AD571" i="2"/>
  <c r="AD559" i="2"/>
  <c r="AD547" i="2"/>
  <c r="AD535" i="2"/>
  <c r="AD523" i="2"/>
  <c r="AD511" i="2"/>
  <c r="AD499" i="2"/>
  <c r="AD487" i="2"/>
  <c r="AD475" i="2"/>
  <c r="AD463" i="2"/>
  <c r="AD451" i="2"/>
  <c r="AD439" i="2"/>
  <c r="AD427" i="2"/>
  <c r="AD415" i="2"/>
  <c r="AD403" i="2"/>
  <c r="AD391" i="2"/>
  <c r="AD379" i="2"/>
  <c r="AD367" i="2"/>
  <c r="AD355" i="2"/>
  <c r="AD343" i="2"/>
  <c r="AD331" i="2"/>
  <c r="AD319" i="2"/>
  <c r="AD307" i="2"/>
  <c r="AD295" i="2"/>
  <c r="AD283" i="2"/>
  <c r="AD271" i="2"/>
  <c r="AD259" i="2"/>
  <c r="AD247" i="2"/>
  <c r="AD235" i="2"/>
  <c r="AD223" i="2"/>
  <c r="AD211" i="2"/>
  <c r="AD199" i="2"/>
  <c r="AD187" i="2"/>
  <c r="AD175" i="2"/>
  <c r="AD163" i="2"/>
  <c r="AD151" i="2"/>
  <c r="AD139" i="2"/>
  <c r="AD127" i="2"/>
  <c r="AD115" i="2"/>
  <c r="AD103" i="2"/>
  <c r="AD91" i="2"/>
  <c r="AD79" i="2"/>
  <c r="AD67" i="2"/>
  <c r="AD55" i="2"/>
  <c r="AD43" i="2"/>
  <c r="AD31" i="2"/>
  <c r="AD19" i="2"/>
  <c r="AD7" i="2"/>
  <c r="AH625" i="2"/>
  <c r="AH613" i="2"/>
  <c r="AH601" i="2"/>
  <c r="AH589" i="2"/>
  <c r="AH577" i="2"/>
  <c r="AH565" i="2"/>
  <c r="AH553" i="2"/>
  <c r="AH540" i="2"/>
  <c r="AH528" i="2"/>
  <c r="AH516" i="2"/>
  <c r="AH504" i="2"/>
  <c r="AH492" i="2"/>
  <c r="AH480" i="2"/>
  <c r="AH468" i="2"/>
  <c r="AH456" i="2"/>
  <c r="AH444" i="2"/>
  <c r="AH432" i="2"/>
  <c r="AH420" i="2"/>
  <c r="AH408" i="2"/>
  <c r="AH396" i="2"/>
  <c r="AH384" i="2"/>
  <c r="AH372" i="2"/>
  <c r="AH360" i="2"/>
  <c r="AH348" i="2"/>
  <c r="AH336" i="2"/>
  <c r="AH324" i="2"/>
  <c r="AH312" i="2"/>
  <c r="AH300" i="2"/>
  <c r="AH288" i="2"/>
  <c r="AH276" i="2"/>
  <c r="AH264" i="2"/>
  <c r="AH252" i="2"/>
  <c r="AH240" i="2"/>
  <c r="AH228" i="2"/>
  <c r="AH215" i="2"/>
  <c r="AH203" i="2"/>
  <c r="AH191" i="2"/>
  <c r="AH179" i="2"/>
  <c r="AH167" i="2"/>
  <c r="AH155" i="2"/>
  <c r="AH143" i="2"/>
  <c r="AH131" i="2"/>
  <c r="AH119" i="2"/>
  <c r="AH107" i="2"/>
  <c r="AH95" i="2"/>
  <c r="AH83" i="2"/>
  <c r="AH71" i="2"/>
  <c r="AH59" i="2"/>
  <c r="AH47" i="2"/>
  <c r="AH35" i="2"/>
  <c r="AH23" i="2"/>
  <c r="AH11" i="2"/>
  <c r="Y629" i="2"/>
  <c r="Y617" i="2"/>
  <c r="Y605" i="2"/>
  <c r="Y593" i="2"/>
  <c r="Y581" i="2"/>
  <c r="Y569" i="2"/>
  <c r="Y557" i="2"/>
  <c r="Y545" i="2"/>
  <c r="Y533" i="2"/>
  <c r="Y521" i="2"/>
  <c r="Y509" i="2"/>
  <c r="Y497" i="2"/>
  <c r="Y485" i="2"/>
  <c r="Y473" i="2"/>
  <c r="Y461" i="2"/>
  <c r="Y449" i="2"/>
  <c r="Y437" i="2"/>
  <c r="Y425" i="2"/>
  <c r="Y413" i="2"/>
  <c r="Y401" i="2"/>
  <c r="Y389" i="2"/>
  <c r="Y377" i="2"/>
  <c r="Y365" i="2"/>
  <c r="Y353" i="2"/>
  <c r="Y341" i="2"/>
  <c r="Y329" i="2"/>
  <c r="Y317" i="2"/>
  <c r="Y305" i="2"/>
  <c r="Y293" i="2"/>
  <c r="AD66" i="2"/>
  <c r="AD54" i="2"/>
  <c r="AD42" i="2"/>
  <c r="AD30" i="2"/>
  <c r="AD18" i="2"/>
  <c r="AD6" i="2"/>
  <c r="AH624" i="2"/>
  <c r="AH612" i="2"/>
  <c r="AH600" i="2"/>
  <c r="AH588" i="2"/>
  <c r="AH576" i="2"/>
  <c r="AH564" i="2"/>
  <c r="AH552" i="2"/>
  <c r="AH539" i="2"/>
  <c r="AH527" i="2"/>
  <c r="AH515" i="2"/>
  <c r="AH503" i="2"/>
  <c r="AH491" i="2"/>
  <c r="AH479" i="2"/>
  <c r="AH467" i="2"/>
  <c r="AH455" i="2"/>
  <c r="AH443" i="2"/>
  <c r="AH431" i="2"/>
  <c r="AH419" i="2"/>
  <c r="AH407" i="2"/>
  <c r="AH395" i="2"/>
  <c r="AH383" i="2"/>
  <c r="AH371" i="2"/>
  <c r="AH359" i="2"/>
  <c r="AH347" i="2"/>
  <c r="AH335" i="2"/>
  <c r="AH323" i="2"/>
  <c r="AH311" i="2"/>
  <c r="AH299" i="2"/>
  <c r="AH287" i="2"/>
  <c r="AH275" i="2"/>
  <c r="AH263" i="2"/>
  <c r="AH251" i="2"/>
  <c r="AH239" i="2"/>
  <c r="AH227" i="2"/>
  <c r="AH214" i="2"/>
  <c r="AH202" i="2"/>
  <c r="AH190" i="2"/>
  <c r="AH178" i="2"/>
  <c r="AH166" i="2"/>
  <c r="AH154" i="2"/>
  <c r="AH142" i="2"/>
  <c r="AH130" i="2"/>
  <c r="AH118" i="2"/>
  <c r="AH106" i="2"/>
  <c r="AH94" i="2"/>
  <c r="AH82" i="2"/>
  <c r="AH70" i="2"/>
  <c r="AH58" i="2"/>
  <c r="AH46" i="2"/>
  <c r="AH34" i="2"/>
  <c r="AH22" i="2"/>
  <c r="AH10" i="2"/>
  <c r="Y628" i="2"/>
  <c r="Y616" i="2"/>
  <c r="Y604" i="2"/>
  <c r="Y592" i="2"/>
  <c r="Y580" i="2"/>
  <c r="Y568" i="2"/>
  <c r="Y556" i="2"/>
  <c r="Y544" i="2"/>
  <c r="Y532" i="2"/>
  <c r="Y520" i="2"/>
  <c r="Y508" i="2"/>
  <c r="Y496" i="2"/>
  <c r="Y484" i="2"/>
  <c r="Y472" i="2"/>
  <c r="Y460" i="2"/>
  <c r="Y448" i="2"/>
  <c r="Y436" i="2"/>
  <c r="Y424" i="2"/>
  <c r="Y412" i="2"/>
  <c r="Y400" i="2"/>
  <c r="Y388" i="2"/>
  <c r="Y376" i="2"/>
  <c r="Y364" i="2"/>
  <c r="Y352" i="2"/>
  <c r="Y340" i="2"/>
  <c r="Y328" i="2"/>
  <c r="Y316" i="2"/>
  <c r="Y304" i="2"/>
  <c r="Y292" i="2"/>
  <c r="Y280" i="2"/>
  <c r="Y268" i="2"/>
  <c r="Y256" i="2"/>
  <c r="Y244" i="2"/>
  <c r="Y232" i="2"/>
  <c r="Y220" i="2"/>
  <c r="Y208" i="2"/>
  <c r="Y196" i="2"/>
  <c r="Y184" i="2"/>
  <c r="Y172" i="2"/>
  <c r="Y160" i="2"/>
  <c r="Y148" i="2"/>
  <c r="Y136" i="2"/>
  <c r="Y124" i="2"/>
  <c r="Y112" i="2"/>
  <c r="Y100" i="2"/>
  <c r="Y88" i="2"/>
  <c r="Y76" i="2"/>
  <c r="AD401" i="2"/>
  <c r="AD389" i="2"/>
  <c r="AD377" i="2"/>
  <c r="AD365" i="2"/>
  <c r="AD353" i="2"/>
  <c r="AD341" i="2"/>
  <c r="AD329" i="2"/>
  <c r="AD317" i="2"/>
  <c r="AD305" i="2"/>
  <c r="AD293" i="2"/>
  <c r="AD281" i="2"/>
  <c r="AD269" i="2"/>
  <c r="AD257" i="2"/>
  <c r="AD245" i="2"/>
  <c r="AD233" i="2"/>
  <c r="AD221" i="2"/>
  <c r="AD209" i="2"/>
  <c r="AD197" i="2"/>
  <c r="AD185" i="2"/>
  <c r="AD173" i="2"/>
  <c r="AD161" i="2"/>
  <c r="AD149" i="2"/>
  <c r="AD137" i="2"/>
  <c r="AD125" i="2"/>
  <c r="AD113" i="2"/>
  <c r="AD101" i="2"/>
  <c r="AD89" i="2"/>
  <c r="AD77" i="2"/>
  <c r="AD65" i="2"/>
  <c r="AD53" i="2"/>
  <c r="AD41" i="2"/>
  <c r="AD29" i="2"/>
  <c r="AD17" i="2"/>
  <c r="AD5" i="2"/>
  <c r="AH623" i="2"/>
  <c r="AH611" i="2"/>
  <c r="AH599" i="2"/>
  <c r="AH587" i="2"/>
  <c r="AH575" i="2"/>
  <c r="AH563" i="2"/>
  <c r="AH551" i="2"/>
  <c r="AH538" i="2"/>
  <c r="AH526" i="2"/>
  <c r="AH514" i="2"/>
  <c r="AH502" i="2"/>
  <c r="AH490" i="2"/>
  <c r="AH478" i="2"/>
  <c r="AH466" i="2"/>
  <c r="AH454" i="2"/>
  <c r="AH442" i="2"/>
  <c r="AH430" i="2"/>
  <c r="AH418" i="2"/>
  <c r="AH406" i="2"/>
  <c r="AH394" i="2"/>
  <c r="AH382" i="2"/>
  <c r="AH370" i="2"/>
  <c r="AH358" i="2"/>
  <c r="AH346" i="2"/>
  <c r="AH334" i="2"/>
  <c r="AH322" i="2"/>
  <c r="AH310" i="2"/>
  <c r="AH298" i="2"/>
  <c r="AH286" i="2"/>
  <c r="AH274" i="2"/>
  <c r="AH262" i="2"/>
  <c r="AH250" i="2"/>
  <c r="AH238" i="2"/>
  <c r="AH225" i="2"/>
  <c r="AH213" i="2"/>
  <c r="AH201" i="2"/>
  <c r="AH189" i="2"/>
  <c r="AH177" i="2"/>
  <c r="AH165" i="2"/>
  <c r="AH153" i="2"/>
  <c r="AH141" i="2"/>
  <c r="AH129" i="2"/>
  <c r="AH117" i="2"/>
  <c r="AH105" i="2"/>
  <c r="AH93" i="2"/>
  <c r="AH81" i="2"/>
  <c r="AH69" i="2"/>
  <c r="AH57" i="2"/>
  <c r="AH45" i="2"/>
  <c r="AH33" i="2"/>
  <c r="AH21" i="2"/>
  <c r="AH9" i="2"/>
  <c r="Y627" i="2"/>
  <c r="Y615" i="2"/>
  <c r="Y603" i="2"/>
  <c r="Y591" i="2"/>
  <c r="Y579" i="2"/>
  <c r="Y567" i="2"/>
  <c r="Y555" i="2"/>
  <c r="Y543" i="2"/>
  <c r="Y531" i="2"/>
  <c r="Y519" i="2"/>
  <c r="Y507" i="2"/>
  <c r="Y495" i="2"/>
  <c r="Y483" i="2"/>
  <c r="Y471" i="2"/>
  <c r="Y459" i="2"/>
  <c r="Y447" i="2"/>
  <c r="Y435" i="2"/>
  <c r="Y423" i="2"/>
  <c r="Y411" i="2"/>
  <c r="Y399" i="2"/>
  <c r="Y387" i="2"/>
  <c r="Y375" i="2"/>
  <c r="Y363" i="2"/>
  <c r="Y351" i="2"/>
  <c r="Y339" i="2"/>
  <c r="Y327" i="2"/>
  <c r="Y315" i="2"/>
  <c r="Y303" i="2"/>
  <c r="Y291" i="2"/>
  <c r="Y279" i="2"/>
  <c r="Y267" i="2"/>
  <c r="Y255" i="2"/>
  <c r="Y243" i="2"/>
  <c r="Y231" i="2"/>
  <c r="Y219" i="2"/>
  <c r="Y207" i="2"/>
  <c r="Y195" i="2"/>
  <c r="Y183" i="2"/>
  <c r="Y171" i="2"/>
  <c r="Y159" i="2"/>
  <c r="Y111" i="2"/>
  <c r="Y39" i="2"/>
  <c r="O94" i="2"/>
  <c r="O82" i="2"/>
  <c r="O70" i="2"/>
  <c r="O58" i="2"/>
  <c r="O46" i="2"/>
  <c r="O34" i="2"/>
  <c r="O22" i="2"/>
  <c r="O10" i="2"/>
  <c r="AD628" i="2"/>
  <c r="AD616" i="2"/>
  <c r="AD604" i="2"/>
  <c r="AD592" i="2"/>
  <c r="AD580" i="2"/>
  <c r="AD568" i="2"/>
  <c r="AD556" i="2"/>
  <c r="AD544" i="2"/>
  <c r="AD532" i="2"/>
  <c r="AD520" i="2"/>
  <c r="AD508" i="2"/>
  <c r="AD496" i="2"/>
  <c r="AD484" i="2"/>
  <c r="AD472" i="2"/>
  <c r="AD460" i="2"/>
  <c r="AD448" i="2"/>
  <c r="AD436" i="2"/>
  <c r="AD424" i="2"/>
  <c r="AD412" i="2"/>
  <c r="AD400" i="2"/>
  <c r="AD388" i="2"/>
  <c r="AD376" i="2"/>
  <c r="AD364" i="2"/>
  <c r="AD352" i="2"/>
  <c r="AD340" i="2"/>
  <c r="AD328" i="2"/>
  <c r="AD316" i="2"/>
  <c r="AD304" i="2"/>
  <c r="AD292" i="2"/>
  <c r="AD280" i="2"/>
  <c r="AD268" i="2"/>
  <c r="AD256" i="2"/>
  <c r="AD244" i="2"/>
  <c r="AD232" i="2"/>
  <c r="AD220" i="2"/>
  <c r="AD208" i="2"/>
  <c r="AD196" i="2"/>
  <c r="AD184" i="2"/>
  <c r="AD172" i="2"/>
  <c r="AD160" i="2"/>
  <c r="AD148" i="2"/>
  <c r="AD136" i="2"/>
  <c r="AD124" i="2"/>
  <c r="AD112" i="2"/>
  <c r="AD100" i="2"/>
  <c r="AD88" i="2"/>
  <c r="AD76" i="2"/>
  <c r="AD64" i="2"/>
  <c r="AD52" i="2"/>
  <c r="AD40" i="2"/>
  <c r="AD28" i="2"/>
  <c r="AD16" i="2"/>
  <c r="AD4" i="2"/>
  <c r="AH622" i="2"/>
  <c r="AH610" i="2"/>
  <c r="AH598" i="2"/>
  <c r="AH586" i="2"/>
  <c r="AH574" i="2"/>
  <c r="AH562" i="2"/>
  <c r="AH549" i="2"/>
  <c r="AH537" i="2"/>
  <c r="AH525" i="2"/>
  <c r="AH513" i="2"/>
  <c r="AH501" i="2"/>
  <c r="AH489" i="2"/>
  <c r="AH477" i="2"/>
  <c r="AH465" i="2"/>
  <c r="AH453" i="2"/>
  <c r="AH441" i="2"/>
  <c r="AH429" i="2"/>
  <c r="AH417" i="2"/>
  <c r="AH405" i="2"/>
  <c r="AH393" i="2"/>
  <c r="AH381" i="2"/>
  <c r="AH369" i="2"/>
  <c r="AH357" i="2"/>
  <c r="AH345" i="2"/>
  <c r="AH333" i="2"/>
  <c r="AH321" i="2"/>
  <c r="AH309" i="2"/>
  <c r="AH297" i="2"/>
  <c r="AH285" i="2"/>
  <c r="AH273" i="2"/>
  <c r="AH261" i="2"/>
  <c r="AH249" i="2"/>
  <c r="AH237" i="2"/>
  <c r="AH224" i="2"/>
  <c r="AH212" i="2"/>
  <c r="AH200" i="2"/>
  <c r="AH188" i="2"/>
  <c r="AH176" i="2"/>
  <c r="AH164" i="2"/>
  <c r="AH152" i="2"/>
  <c r="AH140" i="2"/>
  <c r="AH128" i="2"/>
  <c r="AH116" i="2"/>
  <c r="AH104" i="2"/>
  <c r="AH92" i="2"/>
  <c r="AH80" i="2"/>
  <c r="AH68" i="2"/>
  <c r="AH56" i="2"/>
  <c r="AH44" i="2"/>
  <c r="AH32" i="2"/>
  <c r="AH20" i="2"/>
  <c r="AH8" i="2"/>
  <c r="Y626" i="2"/>
  <c r="Y614" i="2"/>
  <c r="Y602" i="2"/>
  <c r="Y590" i="2"/>
  <c r="Y578" i="2"/>
  <c r="Y566" i="2"/>
  <c r="Y554" i="2"/>
  <c r="Y542" i="2"/>
  <c r="Y530" i="2"/>
  <c r="Y518" i="2"/>
  <c r="Y506" i="2"/>
  <c r="Y494" i="2"/>
  <c r="Y482" i="2"/>
  <c r="Y470" i="2"/>
  <c r="Y458" i="2"/>
  <c r="Y446" i="2"/>
  <c r="Y434" i="2"/>
  <c r="Y422" i="2"/>
  <c r="Y410" i="2"/>
  <c r="Y398" i="2"/>
  <c r="Y386" i="2"/>
  <c r="Y374" i="2"/>
  <c r="Y362" i="2"/>
  <c r="Y350" i="2"/>
  <c r="Y338" i="2"/>
  <c r="Y326" i="2"/>
  <c r="Y314" i="2"/>
  <c r="Y302" i="2"/>
  <c r="Y290" i="2"/>
  <c r="Y278" i="2"/>
  <c r="Y266" i="2"/>
  <c r="Y110" i="2"/>
  <c r="Y38" i="2"/>
  <c r="O242" i="2"/>
  <c r="O230" i="2"/>
  <c r="O218" i="2"/>
  <c r="O206" i="2"/>
  <c r="O192" i="2"/>
  <c r="O180" i="2"/>
  <c r="O168" i="2"/>
  <c r="O155" i="2"/>
  <c r="O143" i="2"/>
  <c r="O131" i="2"/>
  <c r="O119" i="2"/>
  <c r="O107" i="2"/>
  <c r="O93" i="2"/>
  <c r="O81" i="2"/>
  <c r="O69" i="2"/>
  <c r="O57" i="2"/>
  <c r="O45" i="2"/>
  <c r="O33" i="2"/>
  <c r="O21" i="2"/>
  <c r="O9" i="2"/>
  <c r="AD627" i="2"/>
  <c r="AD615" i="2"/>
  <c r="AD603" i="2"/>
  <c r="AD591" i="2"/>
  <c r="AD579" i="2"/>
  <c r="AD567" i="2"/>
  <c r="AD555" i="2"/>
  <c r="AD543" i="2"/>
  <c r="AD531" i="2"/>
  <c r="AD519" i="2"/>
  <c r="AD507" i="2"/>
  <c r="AD495" i="2"/>
  <c r="AD483" i="2"/>
  <c r="AD471" i="2"/>
  <c r="AD459" i="2"/>
  <c r="AD447" i="2"/>
  <c r="AD435" i="2"/>
  <c r="AD423" i="2"/>
  <c r="AD411" i="2"/>
  <c r="AD399" i="2"/>
  <c r="AD387" i="2"/>
  <c r="AD375" i="2"/>
  <c r="AD363" i="2"/>
  <c r="AD351" i="2"/>
  <c r="AD339" i="2"/>
  <c r="AD327" i="2"/>
  <c r="AD315" i="2"/>
  <c r="AD303" i="2"/>
  <c r="AD291" i="2"/>
  <c r="AD279" i="2"/>
  <c r="AD267" i="2"/>
  <c r="AD255" i="2"/>
  <c r="AD243" i="2"/>
  <c r="AD231" i="2"/>
  <c r="AD219" i="2"/>
  <c r="AD207" i="2"/>
  <c r="AD195" i="2"/>
  <c r="AD183" i="2"/>
  <c r="AD171" i="2"/>
  <c r="AD159" i="2"/>
  <c r="AD147" i="2"/>
  <c r="AD135" i="2"/>
  <c r="AD123" i="2"/>
  <c r="AD111" i="2"/>
  <c r="AD99" i="2"/>
  <c r="AD87" i="2"/>
  <c r="AD75" i="2"/>
  <c r="AD63" i="2"/>
  <c r="AD51" i="2"/>
  <c r="AD39" i="2"/>
  <c r="AD27" i="2"/>
  <c r="AD15" i="2"/>
  <c r="AD3" i="2"/>
  <c r="AH621" i="2"/>
  <c r="AH609" i="2"/>
  <c r="AH597" i="2"/>
  <c r="AH585" i="2"/>
  <c r="AH573" i="2"/>
  <c r="AH561" i="2"/>
  <c r="AH548" i="2"/>
  <c r="AH536" i="2"/>
  <c r="AH524" i="2"/>
  <c r="AH512" i="2"/>
  <c r="AH500" i="2"/>
  <c r="AH488" i="2"/>
  <c r="AH476" i="2"/>
  <c r="AH464" i="2"/>
  <c r="AH452" i="2"/>
  <c r="AH440" i="2"/>
  <c r="AH428" i="2"/>
  <c r="AH416" i="2"/>
  <c r="AH404" i="2"/>
  <c r="AH392" i="2"/>
  <c r="AH380" i="2"/>
  <c r="AH368" i="2"/>
  <c r="AH356" i="2"/>
  <c r="AH344" i="2"/>
  <c r="AH332" i="2"/>
  <c r="AH320" i="2"/>
  <c r="AH308" i="2"/>
  <c r="AH296" i="2"/>
  <c r="AH284" i="2"/>
  <c r="AH272" i="2"/>
  <c r="AH260" i="2"/>
  <c r="AH248" i="2"/>
  <c r="AH236" i="2"/>
  <c r="AH223" i="2"/>
  <c r="AH211" i="2"/>
  <c r="AH199" i="2"/>
  <c r="AH187" i="2"/>
  <c r="AH175" i="2"/>
  <c r="AH163" i="2"/>
  <c r="AH151" i="2"/>
  <c r="AH139" i="2"/>
  <c r="AH127" i="2"/>
  <c r="AH115" i="2"/>
  <c r="AH103" i="2"/>
  <c r="AH91" i="2"/>
  <c r="AH79" i="2"/>
  <c r="AH67" i="2"/>
  <c r="AH55" i="2"/>
  <c r="AH43" i="2"/>
  <c r="AH31" i="2"/>
  <c r="AH19" i="2"/>
  <c r="AH7" i="2"/>
  <c r="Y625" i="2"/>
  <c r="Y613" i="2"/>
  <c r="Y601" i="2"/>
  <c r="Y589" i="2"/>
  <c r="Y577" i="2"/>
  <c r="Y565" i="2"/>
  <c r="Y553" i="2"/>
  <c r="Y541" i="2"/>
  <c r="Y529" i="2"/>
  <c r="Y517" i="2"/>
  <c r="Y505" i="2"/>
  <c r="Y493" i="2"/>
  <c r="Y481" i="2"/>
  <c r="Y469" i="2"/>
  <c r="Y457" i="2"/>
  <c r="Y445" i="2"/>
  <c r="Y433" i="2"/>
  <c r="Y421" i="2"/>
  <c r="Y409" i="2"/>
  <c r="Y397" i="2"/>
  <c r="Y385" i="2"/>
  <c r="Y373" i="2"/>
  <c r="Y361" i="2"/>
  <c r="Y349" i="2"/>
  <c r="Y337" i="2"/>
  <c r="Y325" i="2"/>
  <c r="Y313" i="2"/>
  <c r="Y301" i="2"/>
  <c r="Y289" i="2"/>
  <c r="Y277" i="2"/>
  <c r="Y265" i="2"/>
  <c r="Y253" i="2"/>
  <c r="Y229" i="2"/>
  <c r="Y181" i="2"/>
  <c r="Y152" i="2"/>
  <c r="Y140" i="2"/>
  <c r="Y128" i="2"/>
  <c r="Y116" i="2"/>
  <c r="Y104" i="2"/>
  <c r="Y92" i="2"/>
  <c r="Y80" i="2"/>
  <c r="Y68" i="2"/>
  <c r="Y56" i="2"/>
  <c r="Y44" i="2"/>
  <c r="Y32" i="2"/>
  <c r="Y20" i="2"/>
  <c r="Y8" i="2"/>
  <c r="Y91" i="2"/>
  <c r="Y79" i="2"/>
  <c r="Y67" i="2"/>
  <c r="Y55" i="2"/>
  <c r="Y43" i="2"/>
  <c r="Y31" i="2"/>
  <c r="Y19" i="2"/>
  <c r="Y7" i="2"/>
  <c r="Y114" i="2"/>
  <c r="Y102" i="2"/>
  <c r="Y90" i="2"/>
  <c r="Y78" i="2"/>
  <c r="Y66" i="2"/>
  <c r="Y54" i="2"/>
  <c r="Y42" i="2"/>
  <c r="Y30" i="2"/>
  <c r="Y18" i="2"/>
  <c r="Y6" i="2"/>
  <c r="Y281" i="2"/>
  <c r="Y269" i="2"/>
  <c r="Y257" i="2"/>
  <c r="Y245" i="2"/>
  <c r="Y233" i="2"/>
  <c r="Y221" i="2"/>
  <c r="Y209" i="2"/>
  <c r="Y197" i="2"/>
  <c r="Y185" i="2"/>
  <c r="Y173" i="2"/>
  <c r="Y161" i="2"/>
  <c r="Y149" i="2"/>
  <c r="Y137" i="2"/>
  <c r="Y125" i="2"/>
  <c r="Y113" i="2"/>
  <c r="Y101" i="2"/>
  <c r="Y89" i="2"/>
  <c r="Y77" i="2"/>
  <c r="Y65" i="2"/>
  <c r="Y53" i="2"/>
  <c r="Y41" i="2"/>
  <c r="Y29" i="2"/>
  <c r="Y17" i="2"/>
  <c r="Y5" i="2"/>
  <c r="Y64" i="2"/>
  <c r="Y52" i="2"/>
  <c r="Y40" i="2"/>
  <c r="Y28" i="2"/>
  <c r="Y16" i="2"/>
  <c r="Y4" i="2"/>
  <c r="Y147" i="2"/>
  <c r="Y135" i="2"/>
  <c r="Y123" i="2"/>
  <c r="Y99" i="2"/>
  <c r="Y87" i="2"/>
  <c r="Y75" i="2"/>
  <c r="Y63" i="2"/>
  <c r="Y51" i="2"/>
  <c r="Y27" i="2"/>
  <c r="Y15" i="2"/>
  <c r="Y3" i="2"/>
  <c r="Y254" i="2"/>
  <c r="Y242" i="2"/>
  <c r="Y230" i="2"/>
  <c r="Y218" i="2"/>
  <c r="Y206" i="2"/>
  <c r="Y194" i="2"/>
  <c r="Y182" i="2"/>
  <c r="Y170" i="2"/>
  <c r="Y158" i="2"/>
  <c r="Y146" i="2"/>
  <c r="Y134" i="2"/>
  <c r="Y122" i="2"/>
  <c r="Y98" i="2"/>
  <c r="Y86" i="2"/>
  <c r="Y74" i="2"/>
  <c r="Y62" i="2"/>
  <c r="Y50" i="2"/>
  <c r="Y26" i="2"/>
  <c r="Y14" i="2"/>
  <c r="Y2" i="2"/>
  <c r="Y241" i="2"/>
  <c r="Y217" i="2"/>
  <c r="Y205" i="2"/>
  <c r="Y193" i="2"/>
  <c r="Y169" i="2"/>
  <c r="Y157" i="2"/>
  <c r="Y145" i="2"/>
  <c r="Y133" i="2"/>
  <c r="Y121" i="2"/>
  <c r="Y109" i="2"/>
  <c r="Y97" i="2"/>
  <c r="Y85" i="2"/>
  <c r="Y73" i="2"/>
  <c r="Y61" i="2"/>
  <c r="Y49" i="2"/>
  <c r="Y37" i="2"/>
  <c r="Y25" i="2"/>
  <c r="Y13" i="2"/>
  <c r="Y240" i="2"/>
  <c r="Y228" i="2"/>
  <c r="Y216" i="2"/>
  <c r="Y204" i="2"/>
  <c r="Y192" i="2"/>
  <c r="Y180" i="2"/>
  <c r="Y168" i="2"/>
  <c r="Y156" i="2"/>
  <c r="Y144" i="2"/>
  <c r="Y132" i="2"/>
  <c r="Y120" i="2"/>
  <c r="Y108" i="2"/>
  <c r="Y96" i="2"/>
  <c r="Y84" i="2"/>
  <c r="Y72" i="2"/>
  <c r="Y60" i="2"/>
  <c r="Y48" i="2"/>
  <c r="Y36" i="2"/>
  <c r="Y24" i="2"/>
  <c r="Y12" i="2"/>
  <c r="Y59" i="2"/>
  <c r="Y47" i="2"/>
  <c r="Y35" i="2"/>
  <c r="Y23" i="2"/>
  <c r="Y11" i="2"/>
  <c r="Y82" i="2"/>
  <c r="Y70" i="2"/>
  <c r="Y58" i="2"/>
  <c r="Y46" i="2"/>
  <c r="Y34" i="2"/>
  <c r="Y22" i="2"/>
  <c r="Y10" i="2"/>
  <c r="Y141" i="2"/>
  <c r="Y129" i="2"/>
  <c r="Y117" i="2"/>
  <c r="Y105" i="2"/>
  <c r="Y93" i="2"/>
  <c r="Y81" i="2"/>
  <c r="Y69" i="2"/>
  <c r="Y57" i="2"/>
  <c r="Y45" i="2"/>
  <c r="Y33" i="2"/>
  <c r="Y21" i="2"/>
  <c r="Y9" i="2"/>
</calcChain>
</file>

<file path=xl/sharedStrings.xml><?xml version="1.0" encoding="utf-8"?>
<sst xmlns="http://schemas.openxmlformats.org/spreadsheetml/2006/main" count="22869" uniqueCount="1830">
  <si>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</si>
  <si>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</si>
  <si>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</si>
  <si>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</si>
  <si>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</si>
  <si>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</si>
  <si>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</si>
  <si>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</si>
  <si>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</si>
  <si>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</si>
  <si>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</si>
  <si>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</si>
  <si>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</si>
  <si>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</si>
  <si>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</si>
  <si>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</si>
  <si>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</si>
  <si>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</si>
  <si>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</si>
  <si>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</si>
  <si>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</si>
  <si>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</si>
  <si>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</si>
  <si>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</si>
  <si>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</si>
  <si>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</si>
  <si>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</si>
  <si>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</si>
  <si>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</si>
  <si>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</si>
  <si>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</si>
  <si>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</si>
  <si>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</si>
  <si>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</si>
  <si>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</si>
  <si>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</si>
  <si>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</si>
  <si>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</si>
  <si>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</si>
  <si>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</si>
  <si>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</si>
  <si>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</si>
  <si>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</si>
  <si>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</si>
  <si>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</si>
  <si>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</si>
  <si>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</si>
  <si>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</si>
  <si>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</si>
  <si>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</si>
  <si>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</si>
  <si>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</si>
  <si>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</si>
  <si>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</si>
  <si>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</si>
  <si>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</si>
  <si>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</si>
  <si>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</si>
  <si>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</si>
  <si>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</si>
  <si>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</si>
  <si>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</si>
  <si>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</si>
  <si>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</si>
  <si>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</si>
  <si>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</si>
  <si>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</si>
  <si>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</si>
  <si>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</si>
  <si>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</si>
  <si>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</si>
  <si>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</si>
  <si>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</si>
  <si>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</si>
  <si>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</si>
  <si>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</si>
  <si>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</si>
  <si>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</si>
  <si>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</si>
  <si>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</si>
  <si>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</si>
  <si>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</si>
  <si>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</si>
  <si>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</si>
  <si>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</si>
  <si>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</si>
  <si>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</si>
  <si>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</si>
  <si>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</si>
  <si>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</si>
  <si>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</si>
  <si>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</si>
  <si>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</si>
  <si>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</si>
  <si>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</si>
  <si>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</si>
  <si>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</si>
  <si>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</si>
  <si>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</si>
  <si>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</si>
  <si>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</si>
  <si>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</si>
  <si>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</si>
  <si>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</si>
  <si>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</si>
  <si>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</si>
  <si>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</si>
  <si>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</si>
  <si>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</si>
  <si>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</si>
  <si>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</si>
  <si>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</si>
  <si>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</si>
  <si>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</si>
  <si>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</si>
  <si>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</si>
  <si>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</si>
  <si>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</si>
  <si>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</si>
  <si>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</si>
  <si>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</si>
  <si>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</si>
  <si>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</si>
  <si>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</si>
  <si>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</si>
  <si>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</si>
  <si>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</si>
  <si>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</si>
  <si>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</si>
  <si>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</si>
  <si>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</si>
  <si>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</si>
  <si>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</si>
  <si>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</si>
  <si>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</si>
  <si>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</si>
  <si>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</si>
  <si>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</si>
  <si>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</si>
  <si>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</si>
  <si>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</si>
  <si>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</si>
  <si>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</si>
  <si>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</si>
  <si>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</si>
  <si>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</si>
  <si>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</si>
  <si>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</si>
  <si>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</si>
  <si>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</si>
  <si>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</si>
  <si>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</si>
  <si>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</si>
  <si>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</si>
  <si>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</si>
  <si>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</si>
  <si>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</si>
  <si>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</si>
  <si>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</si>
  <si>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</si>
  <si>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</si>
  <si>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</si>
  <si>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</si>
  <si>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</si>
  <si>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</si>
  <si>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</si>
  <si>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</si>
  <si>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</si>
  <si>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</si>
  <si>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</si>
  <si>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</si>
  <si>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</si>
  <si>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</si>
  <si>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</si>
  <si>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</si>
  <si>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</si>
  <si>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</si>
  <si>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</si>
  <si>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</si>
  <si>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</si>
  <si>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</si>
  <si>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</si>
  <si>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</si>
  <si>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</si>
  <si>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</si>
  <si>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</si>
  <si>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</si>
  <si>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</si>
  <si>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</si>
  <si>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</si>
  <si>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</si>
  <si>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</si>
  <si>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</si>
  <si>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</si>
  <si>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</si>
  <si>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</si>
  <si>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</si>
  <si>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</si>
  <si>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</si>
  <si>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</si>
  <si>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</si>
  <si>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</si>
  <si>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</si>
  <si>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</si>
  <si>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</si>
  <si>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</si>
  <si>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</si>
  <si>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</si>
  <si>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</si>
  <si>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</si>
  <si>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</si>
  <si>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</si>
  <si>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</si>
  <si>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</si>
  <si>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</si>
  <si>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</si>
  <si>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</si>
  <si>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</si>
  <si>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</si>
  <si>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</si>
  <si>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</si>
  <si>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</si>
  <si>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</si>
  <si>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</si>
  <si>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</si>
  <si>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</si>
  <si>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</si>
  <si>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</si>
  <si>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</si>
  <si>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</si>
  <si>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</si>
  <si>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</si>
  <si>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</si>
  <si>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</si>
  <si>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</si>
  <si>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</si>
  <si>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</si>
  <si>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</si>
  <si>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</si>
  <si>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</si>
  <si>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</si>
  <si>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</si>
  <si>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</si>
  <si>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</si>
  <si>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</si>
  <si>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</si>
  <si>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</si>
  <si>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</si>
  <si>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</si>
  <si>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</si>
  <si>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</si>
  <si>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</si>
  <si>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</si>
  <si>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</si>
  <si>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</si>
  <si>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</si>
  <si>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</si>
  <si>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</si>
  <si>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</si>
  <si>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</si>
  <si>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</si>
  <si>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</si>
  <si>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</si>
  <si>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</si>
  <si>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</si>
  <si>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</si>
  <si>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</si>
  <si>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</si>
  <si>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</si>
  <si>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</si>
  <si>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</si>
  <si>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</si>
  <si>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</si>
  <si>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</si>
  <si>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</si>
  <si>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</si>
  <si>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</si>
  <si>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</si>
  <si>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</si>
  <si>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</si>
  <si>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</si>
  <si>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</si>
  <si>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</si>
  <si>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</si>
  <si>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</si>
  <si>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</si>
  <si>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</si>
  <si>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</si>
  <si>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</si>
  <si>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</si>
  <si>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</si>
  <si>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</si>
  <si>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</si>
  <si>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</si>
  <si>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</si>
  <si>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</si>
  <si>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</si>
  <si>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</si>
  <si>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</si>
  <si>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</si>
  <si>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</si>
  <si>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</si>
  <si>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</si>
  <si>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</si>
  <si>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</si>
  <si>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</si>
  <si>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</si>
  <si>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</si>
  <si>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</si>
  <si>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</si>
  <si>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</si>
  <si>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</si>
  <si>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</si>
  <si>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</si>
  <si>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</si>
  <si>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</si>
  <si>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</si>
  <si>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</si>
  <si>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</si>
  <si>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</si>
  <si>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</si>
  <si>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</si>
  <si>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</si>
  <si>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</si>
  <si>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</si>
  <si>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</si>
  <si>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</si>
  <si>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</si>
  <si>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</si>
  <si>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</si>
  <si>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</si>
  <si>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</si>
  <si>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</si>
  <si>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</si>
  <si>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</si>
  <si>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</si>
  <si>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</si>
  <si>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</si>
  <si>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</si>
  <si>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</si>
  <si>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</si>
  <si>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</si>
  <si>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</si>
  <si>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</si>
  <si>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</si>
  <si>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</si>
  <si>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</si>
  <si>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</si>
  <si>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</si>
  <si>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</si>
  <si>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</si>
  <si>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</si>
  <si>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</si>
  <si>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</si>
  <si>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</si>
  <si>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</si>
  <si>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</si>
  <si>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</si>
  <si>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</si>
  <si>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</si>
  <si>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</si>
  <si>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</si>
  <si>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</si>
  <si>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</si>
  <si>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</si>
  <si>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</si>
  <si>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</si>
  <si>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</si>
  <si>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</si>
  <si>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</si>
  <si>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</si>
  <si>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</si>
  <si>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</si>
  <si>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</si>
  <si>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</si>
  <si>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</si>
  <si>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</si>
  <si>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</si>
  <si>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</si>
  <si>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</si>
  <si>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</si>
  <si>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</si>
  <si>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</si>
  <si>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</si>
  <si>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</si>
  <si>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</si>
  <si>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</si>
  <si>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</si>
  <si>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</si>
  <si>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</si>
  <si>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</si>
  <si>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</si>
  <si>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</si>
  <si>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</si>
  <si>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</si>
  <si>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</si>
  <si>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</si>
  <si>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</si>
  <si>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</si>
  <si>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</si>
  <si>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</si>
  <si>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</si>
  <si>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</si>
  <si>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</si>
  <si>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</si>
  <si>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</si>
  <si>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</si>
  <si>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</si>
  <si>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</si>
  <si>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</si>
  <si>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</si>
  <si>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</si>
  <si>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</si>
  <si>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</si>
  <si>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</si>
  <si>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</si>
  <si>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</si>
  <si>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</si>
  <si>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</si>
  <si>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</si>
  <si>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</si>
  <si>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</si>
  <si>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</si>
  <si>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</si>
  <si>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</si>
  <si>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</si>
  <si>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</si>
  <si>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</si>
  <si>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</si>
  <si>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</si>
  <si>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</si>
  <si>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</si>
  <si>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</si>
  <si>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</si>
  <si>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</si>
  <si>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</si>
  <si>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</si>
  <si>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</si>
  <si>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</si>
  <si>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</si>
  <si>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</si>
  <si>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</si>
  <si>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</si>
  <si>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</si>
  <si>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</si>
  <si>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</si>
  <si>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</si>
  <si>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</si>
  <si>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</si>
  <si>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</si>
  <si>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</si>
  <si>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</si>
  <si>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</si>
  <si>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</si>
  <si>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</si>
  <si>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</si>
  <si>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</si>
  <si>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</si>
  <si>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</si>
  <si>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</si>
  <si>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</si>
  <si>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</si>
  <si>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</si>
  <si>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</si>
  <si>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</si>
  <si>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</si>
  <si>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</si>
  <si>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</si>
  <si>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</si>
  <si>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</si>
  <si>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</si>
  <si>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</si>
  <si>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</si>
  <si>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</si>
  <si>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</si>
  <si>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</si>
  <si>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</si>
  <si>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</si>
  <si>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</si>
  <si>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</si>
  <si>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</si>
  <si>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</si>
  <si>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</si>
  <si>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</si>
  <si>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</si>
  <si>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</si>
  <si>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</si>
  <si>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</si>
  <si>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</si>
  <si>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</si>
  <si>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</si>
  <si>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</si>
  <si>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</si>
  <si>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</si>
  <si>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</si>
  <si>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</si>
  <si>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</si>
  <si>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</si>
  <si>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</si>
  <si>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</si>
  <si>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</si>
  <si>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</si>
  <si>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</si>
  <si>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</si>
  <si>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</si>
  <si>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</si>
  <si>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</si>
  <si>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</si>
  <si>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</si>
  <si>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</si>
  <si>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</si>
  <si>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</si>
  <si>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</si>
  <si>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</si>
  <si>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</si>
  <si>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</si>
  <si>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</si>
  <si>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</si>
  <si>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</si>
  <si>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</si>
  <si>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</si>
  <si>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</si>
  <si>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</si>
  <si>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</si>
  <si>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</si>
  <si>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</si>
  <si>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</si>
  <si>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</si>
  <si>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</si>
  <si>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</si>
  <si>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</si>
  <si>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</si>
  <si>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</si>
  <si>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</si>
  <si>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</si>
  <si>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</si>
  <si>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</si>
  <si>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</si>
  <si>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</si>
  <si>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</si>
  <si>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</si>
  <si>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</si>
  <si>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</si>
  <si>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</si>
  <si>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</si>
  <si>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</si>
  <si>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</si>
  <si>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</si>
  <si>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</si>
  <si>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</si>
  <si>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</si>
  <si>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</si>
  <si>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</si>
  <si>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</si>
  <si>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</si>
  <si>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</si>
  <si>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</si>
  <si>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</si>
  <si>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</si>
  <si>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</si>
  <si>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</si>
  <si>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</si>
  <si>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</si>
  <si>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</si>
  <si>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</si>
  <si>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</si>
  <si>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</si>
  <si>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</si>
  <si>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</si>
  <si>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</si>
  <si>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</si>
  <si>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</si>
  <si>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</si>
  <si>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</si>
  <si>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</si>
  <si>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</si>
  <si>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</si>
  <si>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</si>
  <si>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</si>
  <si>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</si>
  <si>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</si>
  <si>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</si>
  <si>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</si>
  <si>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</si>
  <si>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</si>
  <si>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</si>
  <si>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</si>
  <si>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</si>
  <si>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</si>
  <si>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</si>
  <si>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</si>
  <si>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</si>
  <si>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</si>
  <si>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</si>
  <si>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</si>
  <si>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</si>
  <si>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</si>
  <si>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</si>
  <si>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</si>
  <si>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</si>
  <si>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</si>
  <si>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</si>
  <si>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</si>
  <si>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</si>
  <si>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</si>
  <si>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</si>
  <si>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</si>
  <si>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</si>
  <si>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</si>
  <si>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</si>
  <si>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</si>
  <si>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</si>
  <si>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</si>
  <si>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</si>
  <si>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</si>
  <si>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</si>
  <si>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</si>
  <si>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</si>
  <si>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</si>
  <si>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</si>
  <si>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</si>
  <si>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</si>
  <si>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</si>
  <si>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</si>
  <si>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</si>
  <si>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</si>
  <si>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</si>
  <si>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</si>
  <si>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</si>
  <si>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</si>
  <si>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</si>
  <si>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</si>
  <si>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</si>
  <si>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</si>
  <si>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</si>
  <si>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</si>
  <si>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</si>
  <si>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</si>
  <si>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</si>
  <si>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</si>
  <si>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</si>
  <si>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</si>
  <si>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</si>
  <si>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</si>
  <si>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</si>
  <si>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</si>
  <si>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</si>
  <si>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</si>
  <si>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</si>
  <si>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</si>
  <si>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</si>
  <si>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</si>
  <si>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</si>
  <si>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</si>
  <si>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</si>
  <si>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</si>
  <si>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</si>
  <si>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</si>
  <si>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</si>
  <si>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</si>
  <si>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</si>
  <si>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</si>
  <si>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</si>
  <si>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</si>
  <si>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</si>
  <si>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</si>
  <si>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</si>
  <si>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</si>
  <si>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</si>
  <si>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</si>
  <si>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</si>
  <si>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</si>
  <si>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</si>
  <si>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</si>
  <si>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</si>
  <si>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</si>
  <si>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</si>
  <si>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</si>
  <si>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</si>
  <si>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</si>
  <si>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</si>
  <si>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</si>
  <si>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</si>
  <si>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</si>
  <si>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</si>
  <si>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</si>
  <si>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</si>
  <si>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</si>
  <si>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</si>
  <si>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</si>
  <si>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</si>
  <si>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</si>
  <si>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</si>
  <si>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</si>
  <si>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</si>
  <si>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</si>
  <si>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</si>
  <si>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</si>
  <si>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</si>
  <si>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</si>
  <si>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</si>
  <si>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</si>
  <si>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</si>
  <si>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</si>
  <si>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</si>
  <si>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</si>
  <si>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</si>
  <si>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</si>
  <si>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</si>
  <si>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</si>
  <si>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</si>
  <si>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</si>
  <si>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</si>
  <si>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</si>
  <si>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</si>
  <si>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</si>
  <si>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</si>
  <si>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</si>
  <si>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</si>
  <si>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</si>
  <si>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</si>
  <si>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</si>
  <si>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</si>
  <si>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</si>
  <si>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</si>
  <si>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</si>
  <si>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</si>
  <si>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</si>
  <si>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</si>
  <si>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</si>
  <si>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</si>
  <si>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</si>
  <si>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</si>
  <si>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</si>
  <si>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</si>
  <si>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</si>
  <si>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</si>
  <si>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</si>
  <si>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</si>
  <si>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</si>
  <si>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</si>
  <si>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</si>
  <si>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</si>
  <si>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</si>
  <si>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</si>
  <si>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</si>
  <si>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</si>
  <si>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</si>
  <si>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</si>
  <si>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</si>
  <si>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</si>
  <si>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</si>
  <si>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</si>
  <si>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</si>
  <si>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</si>
  <si>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</si>
  <si>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</si>
  <si>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</si>
  <si>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</si>
  <si>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</si>
  <si>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</si>
  <si>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</si>
  <si>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</si>
  <si>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</si>
  <si>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</si>
  <si>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</si>
  <si>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</si>
  <si>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</si>
  <si>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</si>
  <si>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</si>
  <si>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</si>
  <si>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</si>
  <si>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</si>
  <si>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</si>
  <si>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</si>
  <si>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</si>
  <si>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</si>
  <si>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</si>
  <si>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</si>
  <si>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</si>
  <si>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</si>
  <si>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</si>
  <si>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</si>
  <si>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</si>
  <si>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</si>
  <si>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</si>
  <si>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</si>
  <si>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</si>
  <si>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</si>
  <si>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</si>
  <si>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</si>
  <si>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</si>
  <si>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</si>
  <si>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</si>
  <si>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</si>
  <si>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</si>
  <si>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</si>
  <si>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</si>
  <si>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</si>
  <si>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</si>
  <si>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</si>
  <si>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</si>
  <si>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</si>
  <si>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</si>
  <si>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</si>
  <si>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</si>
  <si>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</si>
  <si>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</si>
  <si>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</si>
  <si>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</si>
  <si>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</si>
  <si>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</si>
  <si>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</si>
  <si>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</si>
  <si>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</si>
  <si>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</si>
  <si>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</si>
  <si>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</si>
  <si>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</si>
  <si>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</si>
  <si>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</si>
  <si>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</si>
  <si>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</si>
  <si>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</si>
  <si>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</si>
  <si>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</si>
  <si>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</si>
  <si>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</si>
  <si>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</si>
  <si>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</si>
  <si>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</si>
  <si>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</si>
  <si>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</si>
  <si>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</si>
  <si>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</si>
  <si>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</si>
  <si>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</si>
  <si>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</si>
  <si>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</si>
  <si>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</si>
  <si>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</si>
  <si>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</si>
  <si>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</si>
  <si>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</si>
  <si>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</si>
  <si>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</si>
  <si>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</si>
  <si>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</si>
  <si>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</si>
  <si>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</si>
  <si>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</si>
  <si>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</si>
  <si>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</si>
  <si>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</si>
  <si>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</si>
  <si>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</si>
  <si>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</si>
  <si>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</si>
  <si>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</si>
  <si>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</si>
  <si>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</si>
  <si>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</si>
  <si>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</si>
  <si>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</si>
  <si>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</si>
  <si>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</si>
  <si>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</si>
  <si>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</si>
  <si>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</si>
  <si>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</si>
  <si>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</si>
  <si>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</si>
  <si>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</si>
  <si>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</si>
  <si>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</si>
  <si>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</si>
  <si>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</si>
  <si>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</si>
  <si>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</si>
  <si>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</si>
  <si>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</si>
  <si>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</si>
  <si>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</si>
  <si>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</si>
  <si>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</si>
  <si>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</si>
  <si>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</si>
  <si>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</si>
  <si>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</si>
  <si>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</si>
  <si>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</si>
  <si>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</si>
  <si>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</si>
  <si>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</si>
  <si>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</si>
  <si>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</si>
  <si>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</si>
  <si>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</si>
  <si>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</si>
  <si>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</si>
  <si>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</si>
  <si>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</si>
  <si>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</si>
  <si>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</si>
  <si>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</si>
  <si>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</si>
  <si>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</si>
  <si>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</si>
  <si>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</si>
  <si>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</si>
  <si>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</si>
  <si>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</si>
  <si>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</si>
  <si>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</si>
  <si>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</si>
  <si>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</si>
  <si>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</si>
  <si>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</si>
  <si>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</si>
  <si>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</si>
  <si>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</si>
  <si>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</si>
  <si>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</si>
  <si>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</si>
  <si>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</si>
  <si>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</si>
  <si>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</si>
  <si>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</si>
  <si>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</si>
  <si>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</si>
  <si>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</si>
  <si>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</si>
  <si>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</si>
  <si>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</si>
  <si>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</si>
  <si>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</si>
  <si>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</si>
  <si>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</si>
  <si>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</si>
  <si>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</si>
  <si>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</si>
  <si>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</si>
  <si>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</si>
  <si>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</si>
  <si>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</si>
  <si>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</si>
  <si>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</si>
  <si>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</si>
  <si>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</si>
  <si>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</si>
  <si>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</si>
  <si>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</si>
  <si>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</si>
  <si>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</si>
  <si>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</si>
  <si>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</si>
  <si>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</si>
  <si>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</si>
  <si>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</si>
  <si>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</si>
  <si>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</si>
  <si>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</si>
  <si>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</si>
  <si>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</si>
  <si>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</si>
  <si>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</si>
  <si>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</si>
  <si>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</si>
  <si>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</si>
  <si>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</si>
  <si>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</si>
  <si>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</si>
  <si>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</si>
  <si>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</si>
  <si>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</si>
  <si>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</si>
  <si>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</si>
  <si>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</si>
  <si>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</si>
  <si>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</si>
  <si>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</si>
  <si>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</si>
  <si>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</si>
  <si>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</si>
  <si>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</si>
  <si>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</si>
  <si>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</si>
  <si>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</si>
  <si>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</si>
  <si>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</si>
  <si>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</si>
  <si>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</si>
  <si>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</si>
  <si>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</si>
  <si>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</si>
  <si>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</si>
  <si>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</si>
  <si>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</si>
  <si>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</si>
  <si>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</si>
  <si>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</si>
  <si>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</si>
  <si>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</si>
  <si>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</si>
  <si>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</si>
  <si>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</si>
  <si>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</si>
  <si>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</si>
  <si>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</si>
  <si>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</si>
  <si>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</si>
  <si>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</si>
  <si>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</si>
  <si>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</si>
  <si>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</si>
  <si>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</si>
  <si>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</si>
  <si>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</si>
  <si>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</si>
  <si>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</si>
  <si>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</si>
  <si>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</si>
  <si>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</si>
  <si>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</si>
  <si>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</si>
  <si>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</si>
  <si>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</si>
  <si>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</si>
  <si>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</si>
  <si>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</si>
  <si>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</si>
  <si>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</si>
  <si>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</si>
  <si>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</si>
  <si>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</si>
  <si>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</si>
  <si>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</si>
  <si>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</si>
  <si>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</si>
  <si>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</si>
  <si>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</si>
  <si>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</si>
  <si>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</si>
  <si>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</si>
  <si>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</si>
  <si>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</si>
  <si>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</si>
  <si>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</si>
  <si>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</si>
  <si>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</si>
  <si>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</si>
  <si>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</si>
  <si>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</si>
  <si>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</si>
  <si>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</si>
  <si>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</si>
  <si>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</si>
  <si>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</si>
  <si>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</si>
  <si>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</si>
  <si>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</si>
  <si>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</si>
  <si>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</si>
  <si>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</si>
  <si>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</si>
  <si>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</si>
  <si>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</si>
  <si>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</si>
  <si>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</si>
  <si>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</si>
  <si>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</si>
  <si>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</si>
  <si>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</si>
  <si>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</si>
  <si>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</si>
  <si>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</si>
  <si>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</si>
  <si>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</si>
  <si>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</si>
  <si>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</si>
  <si>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</si>
  <si>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</si>
  <si>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</si>
  <si>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</si>
  <si>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</si>
  <si>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</si>
  <si>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</si>
  <si>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</si>
  <si>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</si>
  <si>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</si>
  <si>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</si>
  <si>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</si>
  <si>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</si>
  <si>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</si>
  <si>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</si>
  <si>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</si>
  <si>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</si>
  <si>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</si>
  <si>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</si>
  <si>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</si>
  <si>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</si>
  <si>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</si>
  <si>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</si>
  <si>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</si>
  <si>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</si>
  <si>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</si>
  <si>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</si>
  <si>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</si>
  <si>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</si>
  <si>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</si>
  <si>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</si>
  <si>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</si>
  <si>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</si>
  <si>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</si>
  <si>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</si>
  <si>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</si>
  <si>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</si>
  <si>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</si>
  <si>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</si>
  <si>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</si>
  <si>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</si>
  <si>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</si>
  <si>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</si>
  <si>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</si>
  <si>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</si>
  <si>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</si>
  <si>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</si>
  <si>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</si>
  <si>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</si>
  <si>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</si>
  <si>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</si>
  <si>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</si>
  <si>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</si>
  <si>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</si>
  <si>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</si>
  <si>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</si>
  <si>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</si>
  <si>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</si>
  <si>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</si>
  <si>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</si>
  <si>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</si>
  <si>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</si>
  <si>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</si>
  <si>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</si>
  <si>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</si>
  <si>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</si>
  <si>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</si>
  <si>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</si>
  <si>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</si>
  <si>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</si>
  <si>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</si>
  <si>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</si>
  <si>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</si>
  <si>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</si>
  <si>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</si>
  <si>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</si>
  <si>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</si>
  <si>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</si>
  <si>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</si>
  <si>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</si>
  <si>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</si>
  <si>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</si>
  <si>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</si>
  <si>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</si>
  <si>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</si>
  <si>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</si>
  <si>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</si>
  <si>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</si>
  <si>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</si>
  <si>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</si>
  <si>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</si>
  <si>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</si>
  <si>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</si>
  <si>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</si>
  <si>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</si>
  <si>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</si>
  <si>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</si>
  <si>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</si>
  <si>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</si>
  <si>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</si>
  <si>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</si>
  <si>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</si>
  <si>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</si>
  <si>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</si>
  <si>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</si>
  <si>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</si>
  <si>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</si>
  <si>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</si>
  <si>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</si>
  <si>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</si>
  <si>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</si>
  <si>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</si>
  <si>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</si>
  <si>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</si>
  <si>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</si>
  <si>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</si>
  <si>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</si>
  <si>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</si>
  <si>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</si>
  <si>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</si>
  <si>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</si>
  <si>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</si>
  <si>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</si>
  <si>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</si>
  <si>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</si>
  <si>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</si>
  <si>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</si>
  <si>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</si>
  <si>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</si>
  <si>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</si>
  <si>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</si>
  <si>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</si>
  <si>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</si>
  <si>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</si>
  <si>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</si>
  <si>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</si>
  <si>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</si>
  <si>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</si>
  <si>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</si>
  <si>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</si>
  <si>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</si>
  <si>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</si>
  <si>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</si>
  <si>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</si>
  <si>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</si>
  <si>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</si>
  <si>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</si>
  <si>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</si>
  <si>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</si>
  <si>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</si>
  <si>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</si>
  <si>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</si>
  <si>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</si>
  <si>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</si>
  <si>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</si>
  <si>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</si>
  <si>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</si>
  <si>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</si>
  <si>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</si>
  <si>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</si>
  <si>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</si>
  <si>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</si>
  <si>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</si>
  <si>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</si>
  <si>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</si>
  <si>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</si>
  <si>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</si>
  <si>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</si>
  <si>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</si>
  <si>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</si>
  <si>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</si>
  <si>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</si>
  <si>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</si>
  <si>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</si>
  <si>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</si>
  <si>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</si>
  <si>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</si>
  <si>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</si>
  <si>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</si>
  <si>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</si>
  <si>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</si>
  <si>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</si>
  <si>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</si>
  <si>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</si>
  <si>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</si>
  <si>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</si>
  <si>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</si>
  <si>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</si>
  <si>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</si>
  <si>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</si>
  <si>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</si>
  <si>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</si>
  <si>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</si>
  <si>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</si>
  <si>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</si>
  <si>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</si>
  <si>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</si>
  <si>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</si>
  <si>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</si>
  <si>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</si>
  <si>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</si>
  <si>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</si>
  <si>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</si>
  <si>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</si>
  <si>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</si>
  <si>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</si>
  <si>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</si>
  <si>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</si>
  <si>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</si>
  <si>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</si>
  <si>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</si>
  <si>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</si>
  <si>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</si>
  <si>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</si>
  <si>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</si>
  <si>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</si>
  <si>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</si>
  <si>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</si>
  <si>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</si>
  <si>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</si>
  <si>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</si>
  <si>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</si>
  <si>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</si>
  <si>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</si>
  <si>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</si>
  <si>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</si>
  <si>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</si>
  <si>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</si>
  <si>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</si>
  <si>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</si>
  <si>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</si>
  <si>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</si>
  <si>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</si>
  <si>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</si>
  <si>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</si>
  <si>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</si>
  <si>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</si>
  <si>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</si>
  <si>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</si>
  <si>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</si>
  <si>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</si>
  <si>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</si>
  <si>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</si>
  <si>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</si>
  <si>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</si>
  <si>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</si>
  <si>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</si>
  <si>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</si>
  <si>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</si>
  <si>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</si>
  <si>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</si>
  <si>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</si>
  <si>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</si>
  <si>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</si>
  <si>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</si>
  <si>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</si>
  <si>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</si>
  <si>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</si>
  <si>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</si>
  <si>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</si>
  <si>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</si>
  <si>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</si>
  <si>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</si>
  <si>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</si>
  <si>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</si>
  <si>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</si>
  <si>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</si>
  <si>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</si>
  <si>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</si>
  <si>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</si>
  <si>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</si>
  <si>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</si>
  <si>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</si>
  <si>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</si>
  <si>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</si>
  <si>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</si>
  <si>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</si>
  <si>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</si>
  <si>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</si>
  <si>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</si>
  <si>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</si>
  <si>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</si>
  <si>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</si>
  <si>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</si>
  <si>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</si>
  <si>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</si>
  <si>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</si>
  <si>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</si>
  <si>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</si>
  <si>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</si>
  <si>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</si>
  <si>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</si>
  <si>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</si>
  <si>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</si>
  <si>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</si>
  <si>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</si>
  <si>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</si>
  <si>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</si>
  <si>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</si>
  <si>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</si>
  <si>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</si>
  <si>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</si>
  <si>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</si>
  <si>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</si>
  <si>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</si>
  <si>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</si>
  <si>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</si>
  <si>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</si>
  <si>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</si>
  <si>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</si>
  <si>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</si>
  <si>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</si>
  <si>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</si>
  <si>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</si>
  <si>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</si>
  <si>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</si>
  <si>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</si>
  <si>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</si>
  <si>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</si>
  <si>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</si>
  <si>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</si>
  <si>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</si>
  <si>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</si>
  <si>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</si>
  <si>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</si>
  <si>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</si>
  <si>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</si>
  <si>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</si>
  <si>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</si>
  <si>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</si>
  <si>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</si>
  <si>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</si>
  <si>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</si>
  <si>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</si>
  <si>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</si>
  <si>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</si>
  <si>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</si>
  <si>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</si>
  <si>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</si>
  <si>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</si>
  <si>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</si>
  <si>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</si>
  <si>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</si>
  <si>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</si>
  <si>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</si>
  <si>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</si>
  <si>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</si>
  <si>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</si>
  <si>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</si>
  <si>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</si>
  <si>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</si>
  <si>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</si>
  <si>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</si>
  <si>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</si>
  <si>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</si>
  <si>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</si>
  <si>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</si>
  <si>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</si>
  <si>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</si>
  <si>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</si>
  <si>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</si>
  <si>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</si>
  <si>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</si>
  <si>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</si>
  <si>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</si>
  <si>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</si>
  <si>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</si>
  <si>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</si>
  <si>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</si>
  <si>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</si>
  <si>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</si>
  <si>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</si>
  <si>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</si>
  <si>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</si>
  <si>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</si>
  <si>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</si>
  <si>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</si>
  <si>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</si>
  <si>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</si>
  <si>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</si>
  <si>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</si>
  <si>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</si>
  <si>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</si>
  <si>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</si>
  <si>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</si>
  <si>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</si>
  <si>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</si>
  <si>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</si>
  <si>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</si>
  <si>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</si>
  <si>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</si>
  <si>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</si>
  <si>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</si>
  <si>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</si>
  <si>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</si>
  <si>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</si>
  <si>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</si>
  <si>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</si>
  <si>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</si>
  <si>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</si>
  <si>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</si>
  <si>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</si>
  <si>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</si>
  <si>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</si>
  <si>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</si>
  <si>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</si>
  <si>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</si>
  <si>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</si>
  <si>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</si>
  <si>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</si>
  <si>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</si>
  <si>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</si>
  <si>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</si>
  <si>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</si>
  <si>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</si>
  <si>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</si>
  <si>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</si>
  <si>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</si>
  <si>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</si>
  <si>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</si>
  <si>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</si>
  <si>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</si>
  <si>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</si>
  <si>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</si>
  <si>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</si>
  <si>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</si>
  <si>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</si>
  <si>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</si>
  <si>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</si>
  <si>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</si>
  <si>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</si>
  <si>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</si>
  <si>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</si>
  <si>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</si>
  <si>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</si>
  <si>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</si>
  <si>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</si>
  <si>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</si>
  <si>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</si>
  <si>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</si>
  <si>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</si>
  <si>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</si>
  <si>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</si>
  <si>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</si>
  <si>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</si>
  <si>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</si>
  <si>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</si>
  <si>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</si>
  <si>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</si>
  <si>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</si>
  <si>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</si>
  <si>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</si>
  <si>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</si>
  <si>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</si>
  <si>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</si>
  <si>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</si>
  <si>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</si>
  <si>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</si>
  <si>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</si>
  <si>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</si>
  <si>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</si>
  <si>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</si>
  <si>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</si>
  <si>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</si>
  <si>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</si>
  <si>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</si>
  <si>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</si>
  <si>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</si>
  <si>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</si>
  <si>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</si>
  <si>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</si>
  <si>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</si>
  <si>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</si>
  <si>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</si>
  <si>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</si>
  <si>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</si>
  <si>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</si>
  <si>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</si>
  <si>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</si>
  <si>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</si>
  <si>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</si>
  <si>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</si>
  <si>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</si>
  <si>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</si>
  <si>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</si>
  <si>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</si>
  <si>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</si>
  <si>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</si>
  <si>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</si>
  <si>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</si>
  <si>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</si>
  <si>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</si>
  <si>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</si>
  <si>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</si>
  <si>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</si>
  <si>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</si>
  <si>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</si>
  <si>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</si>
  <si>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</si>
  <si>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</si>
  <si>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</si>
  <si>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</si>
  <si>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</si>
  <si>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</si>
  <si>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</si>
  <si>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</si>
  <si>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</si>
  <si>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</si>
  <si>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</si>
  <si>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</si>
  <si>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</si>
  <si>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</si>
  <si>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</si>
  <si>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</si>
  <si>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</si>
  <si>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</si>
  <si>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</si>
  <si>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</si>
  <si>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</si>
  <si>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</si>
  <si>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</si>
  <si>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</si>
  <si>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</si>
  <si>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</si>
  <si>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</si>
  <si>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</si>
  <si>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</si>
  <si>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</si>
  <si>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</si>
  <si>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</si>
  <si>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</si>
  <si>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</si>
  <si>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</si>
  <si>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</si>
  <si>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</si>
  <si>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</si>
  <si>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</si>
  <si>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</si>
  <si>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</si>
  <si>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</si>
  <si>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</si>
  <si>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</si>
  <si>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</si>
  <si>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</si>
  <si>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</si>
  <si>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</si>
  <si>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</si>
  <si>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</si>
  <si>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</si>
  <si>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</si>
  <si>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</si>
  <si>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</si>
  <si>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</si>
  <si>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</si>
  <si>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</si>
  <si>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</si>
  <si>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</si>
  <si>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</si>
  <si>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</si>
  <si>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</si>
  <si>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</si>
  <si>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</si>
  <si>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</si>
  <si>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</si>
  <si>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</si>
  <si>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</si>
  <si>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</si>
  <si>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</si>
  <si>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</si>
  <si>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</si>
  <si>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</si>
  <si>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</si>
  <si>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</si>
  <si>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</si>
  <si>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</si>
  <si>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</si>
  <si>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</si>
  <si>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</si>
  <si>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</si>
  <si>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</si>
  <si>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</si>
  <si>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</si>
  <si>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</si>
  <si>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</si>
  <si>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</si>
  <si>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</si>
  <si>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</si>
  <si>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</si>
  <si>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</si>
  <si>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</si>
  <si>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</si>
  <si>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</si>
  <si>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</si>
  <si>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</si>
  <si>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</si>
  <si>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</si>
  <si>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</si>
  <si>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</si>
  <si>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</si>
  <si>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</si>
  <si>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</si>
  <si>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</si>
  <si>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</si>
  <si>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</si>
  <si>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</si>
  <si>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</si>
  <si>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</si>
  <si>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</si>
  <si>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</si>
  <si>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</si>
  <si>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</si>
  <si>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</si>
  <si>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</si>
  <si>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</si>
  <si>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</si>
  <si>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</si>
  <si>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</si>
  <si>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</si>
  <si>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</si>
  <si>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</si>
  <si>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</si>
  <si>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</si>
  <si>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</si>
  <si>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</si>
  <si>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</si>
  <si>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</si>
  <si>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</si>
  <si>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</si>
  <si>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</si>
  <si>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</si>
  <si>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</si>
  <si>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</si>
  <si>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</si>
  <si>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</si>
  <si>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</si>
  <si>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</si>
  <si>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</si>
  <si>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</si>
  <si>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</si>
  <si>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</si>
  <si>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</si>
  <si>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</si>
  <si>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</si>
  <si>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</si>
  <si>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</si>
  <si>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</si>
  <si>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</si>
  <si>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</si>
  <si>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</si>
  <si>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</si>
  <si>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</si>
  <si>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</si>
  <si>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</si>
  <si>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</si>
  <si>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</si>
  <si>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</si>
  <si>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</si>
  <si>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</si>
  <si>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</si>
  <si>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</si>
  <si>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</si>
  <si>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</si>
  <si>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</si>
  <si>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</si>
  <si>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</si>
  <si>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</si>
  <si>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</si>
  <si>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</si>
  <si>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</si>
  <si>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</si>
  <si>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</si>
  <si>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</si>
  <si>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</si>
  <si>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</si>
  <si>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</si>
  <si>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</si>
  <si>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</si>
  <si>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</si>
  <si>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</si>
  <si>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</si>
  <si>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</si>
  <si>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</si>
  <si>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</si>
  <si>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</si>
  <si>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</si>
  <si>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</si>
  <si>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</si>
  <si>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</si>
  <si>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</si>
  <si>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</si>
  <si>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</si>
  <si>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</si>
  <si>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</si>
  <si>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</si>
  <si>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</si>
  <si>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</si>
  <si>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</si>
  <si>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</si>
  <si>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</si>
  <si>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</si>
  <si>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</si>
  <si>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</si>
  <si>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</si>
  <si>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</si>
  <si>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</si>
  <si>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</si>
  <si>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</si>
  <si>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</si>
  <si>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</si>
  <si>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</si>
  <si>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</si>
  <si>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</si>
  <si>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</si>
  <si>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</si>
  <si>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</si>
  <si>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</si>
  <si>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</si>
  <si>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</si>
  <si>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</si>
  <si>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</si>
  <si>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</si>
  <si>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</si>
  <si>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</si>
  <si>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</si>
  <si>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>Job Title</t>
  </si>
  <si>
    <t>Current Salary</t>
  </si>
  <si>
    <t>Industry</t>
  </si>
  <si>
    <t>Favorite Programming Language</t>
  </si>
  <si>
    <t>Q6.1 - How Happy are you in your Current Position with the following? (Work/Life Balance)</t>
  </si>
  <si>
    <t>Q6.2 - How Happy are you in your Current Position with the following? (Coworkers)</t>
  </si>
  <si>
    <t>Q6.3 - How Happy are you in your Current Position with the following? (Management)</t>
  </si>
  <si>
    <t>Q6.4 - How Happy are you in your Current Position with the following? (Upward Mobility)</t>
  </si>
  <si>
    <t>Q6.5 - How Happy are you in your Current Position with the following? (Learning New Things)</t>
  </si>
  <si>
    <t>Difficulty to break into data roles</t>
  </si>
  <si>
    <t>Gender</t>
  </si>
  <si>
    <t>Age</t>
  </si>
  <si>
    <t>Ethnicity</t>
  </si>
  <si>
    <t>Job Title Cleaned</t>
  </si>
  <si>
    <t>Industry Cleaned</t>
  </si>
  <si>
    <t>Prog Cleaned</t>
  </si>
  <si>
    <t>Country Cleaned</t>
  </si>
  <si>
    <t>Ethnicity Cleaned</t>
  </si>
  <si>
    <t>Job Title Cleaned V2.0</t>
  </si>
  <si>
    <t>Industry Cleaned 2.0</t>
  </si>
  <si>
    <t>Prog Cleaned 2.0</t>
  </si>
  <si>
    <t>Country Cleaned 2.0</t>
  </si>
  <si>
    <t>Ethnicity Cleaned 2.0</t>
  </si>
  <si>
    <t>most important for a new job</t>
  </si>
  <si>
    <t>most important for a new job 2.0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</si>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</sst>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opLeftCell="U1" workbookViewId="0">
      <pane ySplit="1" topLeftCell="A2" activePane="bottomLeft" state="frozen"/>
      <selection pane="bottomLeft" activeCell="W13" sqref="A1:AB631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C3A0-F677-43B6-A4F2-860150F7806A}">
  <dimension ref="A1:AH631"/>
  <sheetViews>
    <sheetView tabSelected="1" topLeftCell="I1" workbookViewId="0">
      <selection activeCell="N607" sqref="N607"/>
    </sheetView>
  </sheetViews>
  <sheetFormatPr defaultRowHeight="15" x14ac:dyDescent="0.25"/>
  <cols>
    <col min="1" max="1" width="20.7109375" customWidth="1"/>
    <col min="2" max="2" width="13.42578125" customWidth="1"/>
    <col min="5" max="7" width="43.140625" customWidth="1"/>
    <col min="8" max="8" width="15.28515625" customWidth="1"/>
    <col min="9" max="9" width="28.5703125" customWidth="1"/>
    <col min="10" max="12" width="32.85546875" customWidth="1"/>
    <col min="13" max="13" width="40.42578125" customWidth="1"/>
    <col min="14" max="15" width="55.42578125" customWidth="1"/>
    <col min="23" max="25" width="38.7109375" customWidth="1"/>
    <col min="28" max="30" width="33.7109375" customWidth="1"/>
    <col min="32" max="33" width="41.42578125" customWidth="1"/>
    <col min="34" max="34" width="27.140625" customWidth="1"/>
  </cols>
  <sheetData>
    <row r="1" spans="1:34" x14ac:dyDescent="0.25">
      <c r="A1" s="1" t="s">
        <v>0</v>
      </c>
      <c r="B1" s="1" t="s">
        <v>2</v>
      </c>
      <c r="C1" s="1" t="s">
        <v>3</v>
      </c>
      <c r="D1" s="1" t="s">
        <v>9</v>
      </c>
      <c r="E1" s="1" t="s">
        <v>1804</v>
      </c>
      <c r="F1" s="1" t="s">
        <v>1817</v>
      </c>
      <c r="G1" s="1" t="s">
        <v>1822</v>
      </c>
      <c r="H1" s="1" t="s">
        <v>11</v>
      </c>
      <c r="I1" s="1" t="s">
        <v>1805</v>
      </c>
      <c r="J1" s="1" t="s">
        <v>1806</v>
      </c>
      <c r="K1" s="1" t="s">
        <v>1818</v>
      </c>
      <c r="L1" s="1" t="s">
        <v>1823</v>
      </c>
      <c r="M1" s="1" t="s">
        <v>1807</v>
      </c>
      <c r="N1" s="1" t="s">
        <v>1819</v>
      </c>
      <c r="O1" s="1" t="s">
        <v>1824</v>
      </c>
      <c r="P1" s="1" t="s">
        <v>15</v>
      </c>
      <c r="Q1" s="1" t="s">
        <v>1808</v>
      </c>
      <c r="R1" s="1" t="s">
        <v>1809</v>
      </c>
      <c r="S1" s="1" t="s">
        <v>1810</v>
      </c>
      <c r="T1" s="1" t="s">
        <v>1811</v>
      </c>
      <c r="U1" s="1" t="s">
        <v>1812</v>
      </c>
      <c r="V1" s="1" t="s">
        <v>1813</v>
      </c>
      <c r="W1" s="1" t="s">
        <v>22</v>
      </c>
      <c r="X1" s="1" t="s">
        <v>1827</v>
      </c>
      <c r="Y1" s="1" t="s">
        <v>1828</v>
      </c>
      <c r="Z1" s="1" t="s">
        <v>1814</v>
      </c>
      <c r="AA1" s="1" t="s">
        <v>1815</v>
      </c>
      <c r="AB1" s="1" t="s">
        <v>7</v>
      </c>
      <c r="AC1" s="1" t="s">
        <v>1820</v>
      </c>
      <c r="AD1" s="1" t="s">
        <v>1825</v>
      </c>
      <c r="AE1" s="1" t="s">
        <v>112</v>
      </c>
      <c r="AF1" s="1" t="s">
        <v>1816</v>
      </c>
      <c r="AG1" s="2" t="s">
        <v>1821</v>
      </c>
      <c r="AH1" s="2" t="s">
        <v>1826</v>
      </c>
    </row>
    <row r="2" spans="1:34" x14ac:dyDescent="0.25">
      <c r="A2" t="s">
        <v>28</v>
      </c>
      <c r="B2" t="s">
        <v>30</v>
      </c>
      <c r="C2" t="s">
        <v>31</v>
      </c>
      <c r="D2" t="s">
        <v>33</v>
      </c>
      <c r="E2" t="s">
        <v>34</v>
      </c>
      <c r="F2" t="str">
        <f>IF(ISNUMBER(SEARCH("other",E2)),IF(TRIM(MID(E2, FIND(")",E2)+1, LEN(E2)))="", "Other", TRIM(MID(E2, FIND(":",E2)+1, LEN(E2)))),E2)</f>
        <v>Data Analyst</v>
      </c>
      <c r="G2" t="str">
        <f>IF(COUNTIF(F:F,F2)&lt;5,"Others",F2)</f>
        <v>Data Analyst</v>
      </c>
      <c r="H2" t="s">
        <v>35</v>
      </c>
      <c r="I2" t="s">
        <v>36</v>
      </c>
      <c r="J2" t="s">
        <v>37</v>
      </c>
      <c r="K2" t="str">
        <f>IF(ISNUMBER(SEARCH("other",J2)),IF(TRIM(MID(J2, FIND(")",J2)+1, LEN(J2)))="", "Other", TRIM(MID(J2, FIND(":",J2)+1, LEN(J2)))),J2)</f>
        <v>Healthcare</v>
      </c>
      <c r="L2" t="str">
        <f>IF(COUNTIF(K:K,K2)&lt;10,"Others",K2)</f>
        <v>Healthcare</v>
      </c>
      <c r="M2" t="s">
        <v>38</v>
      </c>
      <c r="N2" t="str">
        <f>IF(ISNUMBER(SEARCH("other",M2)),IF(TRIM(MID(M2, FIND("Other",M2)+1, LEN(M2)))="", "Other", TRIM(MID(M2, FIND(":",M2)+1, LEN(M2)))),M2)</f>
        <v>Python</v>
      </c>
      <c r="O2" t="str">
        <f>IF(COUNTIF(N:N,N2)&lt;5,"Others",N2)</f>
        <v>Python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tr">
        <f>IF(ISNUMBER(SEARCH("other",W2)),IF(TRIM(MID(W2, FIND(")",W2)+1, LEN(W2)))="", "Other", TRIM(MID(W2, FIND(":",W2)+1, LEN(W2)))),W2)</f>
        <v>Remote Work</v>
      </c>
      <c r="Y2" t="str">
        <f>IF(COUNTIF(X:X,X2)&lt;5,"Others",X2)</f>
        <v>Remote Work</v>
      </c>
      <c r="Z2" t="s">
        <v>41</v>
      </c>
      <c r="AA2">
        <v>26</v>
      </c>
      <c r="AB2" t="s">
        <v>42</v>
      </c>
      <c r="AC2" t="str">
        <f>IF(ISNUMBER(SEARCH("other",AB2)),IF(TRIM(MID(AB2, FIND(")",AB2)+1, LEN(AB2)))="", "Other", TRIM(MID(AB2, FIND(":",AB2)+1, LEN(AB2)))),AB2)</f>
        <v>United States</v>
      </c>
      <c r="AD2" t="str">
        <f>IF(COUNTIF(AC:AC,AC2)&lt;5,"Others",AC2)</f>
        <v>United States</v>
      </c>
      <c r="AE2" t="s">
        <v>32</v>
      </c>
      <c r="AF2" t="s">
        <v>43</v>
      </c>
      <c r="AG2" t="str">
        <f t="shared" ref="AG2:AG65" si="0">IF(ISNUMBER(SEARCH("other",AF2)),IF(TRIM(MID(AF2, FIND(")",AF2)+1, LEN(AF2)))="", "Other", TRIM(MID(AF2, FIND(":",AF2)+1, LEN(AF2)))),AF2)</f>
        <v>White or Caucasian</v>
      </c>
      <c r="AH2" t="str">
        <f>IF(COUNTIF(AG:AG,AG2)&lt;5,"Others",AG2)</f>
        <v>White or Caucasian</v>
      </c>
    </row>
    <row r="3" spans="1:34" x14ac:dyDescent="0.25">
      <c r="A3" t="s">
        <v>44</v>
      </c>
      <c r="B3" t="s">
        <v>30</v>
      </c>
      <c r="C3" t="s">
        <v>45</v>
      </c>
      <c r="D3" t="s">
        <v>46</v>
      </c>
      <c r="E3" t="s">
        <v>34</v>
      </c>
      <c r="F3" t="str">
        <f t="shared" ref="F3:F66" si="1">IF(ISNUMBER(SEARCH("other",E3)),IF(TRIM(MID(E3, FIND(")",E3)+1, LEN(E3)))="", "Other", TRIM(MID(E3, FIND(":",E3)+1, LEN(E3)))),E3)</f>
        <v>Data Analyst</v>
      </c>
      <c r="G3" t="str">
        <f t="shared" ref="G3:G66" si="2">IF(COUNTIF(F:F,F3)&lt;5,"Others",F3)</f>
        <v>Data Analyst</v>
      </c>
      <c r="H3" t="s">
        <v>47</v>
      </c>
      <c r="I3" t="s">
        <v>48</v>
      </c>
      <c r="J3" t="s">
        <v>49</v>
      </c>
      <c r="K3" t="str">
        <f t="shared" ref="K3:K66" si="3">IF(ISNUMBER(SEARCH("other",J3)),IF(TRIM(MID(J3, FIND(")",J3)+1, LEN(J3)))="", "Other", TRIM(MID(J3, FIND(":",J3)+1, LEN(J3)))),J3)</f>
        <v>Finance</v>
      </c>
      <c r="L3" t="str">
        <f t="shared" ref="L3:L66" si="4">IF(COUNTIF(K:K,K3)&lt;10,"Others",K3)</f>
        <v>Finance</v>
      </c>
      <c r="M3" t="s">
        <v>50</v>
      </c>
      <c r="N3" t="str">
        <f t="shared" ref="N3:N66" si="5">IF(ISNUMBER(SEARCH("other",M3)),IF(TRIM(MID(M3, FIND("Other",M3)+1, LEN(M3)))="", "Other", TRIM(MID(M3, FIND(":",M3)+1, LEN(M3)))),M3)</f>
        <v>R</v>
      </c>
      <c r="O3" t="str">
        <f t="shared" ref="O3:O66" si="6">IF(COUNTIF(N:N,N3)&lt;5,"Others",N3)</f>
        <v>R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tr">
        <f t="shared" ref="X3:X66" si="7">IF(ISNUMBER(SEARCH("other",W3)),IF(TRIM(MID(W3, FIND(")",W3)+1, LEN(W3)))="", "Other", TRIM(MID(W3, FIND(":",W3)+1, LEN(W3)))),W3)</f>
        <v>Remote Work</v>
      </c>
      <c r="Y3" t="str">
        <f t="shared" ref="Y3:Y66" si="8">IF(COUNTIF(X:X,X3)&lt;5,"Others",X3)</f>
        <v>Remote Work</v>
      </c>
      <c r="Z3" t="s">
        <v>41</v>
      </c>
      <c r="AA3">
        <v>36</v>
      </c>
      <c r="AB3" t="s">
        <v>51</v>
      </c>
      <c r="AC3" t="str">
        <f t="shared" ref="AC3:AC66" si="9">IF(ISNUMBER(SEARCH("other",AB3)),IF(TRIM(MID(AB3, FIND(")",AB3)+1, LEN(AB3)))="", "Other", TRIM(MID(AB3, FIND(":",AB3)+1, LEN(AB3)))),AB3)</f>
        <v>Canada</v>
      </c>
      <c r="AD3" t="str">
        <f t="shared" ref="AD3:AD66" si="10">IF(COUNTIF(AC:AC,AC3)&lt;5,"Others",AC3)</f>
        <v>Canada</v>
      </c>
      <c r="AE3" t="s">
        <v>32</v>
      </c>
      <c r="AF3" t="s">
        <v>52</v>
      </c>
      <c r="AG3" t="str">
        <f t="shared" si="0"/>
        <v>Asian or Asian American</v>
      </c>
      <c r="AH3" t="str">
        <f t="shared" ref="AH3:AH66" si="11">IF(COUNTIF(AG:AG,AG3)&lt;5,"Others",AG3)</f>
        <v>Asian or Asian American</v>
      </c>
    </row>
    <row r="4" spans="1:34" x14ac:dyDescent="0.25">
      <c r="A4" t="s">
        <v>53</v>
      </c>
      <c r="B4" t="s">
        <v>30</v>
      </c>
      <c r="C4" t="s">
        <v>54</v>
      </c>
      <c r="D4" t="s">
        <v>55</v>
      </c>
      <c r="E4" t="s">
        <v>56</v>
      </c>
      <c r="F4" t="str">
        <f t="shared" si="1"/>
        <v>Data Engineer</v>
      </c>
      <c r="G4" t="str">
        <f t="shared" si="2"/>
        <v>Data Engineer</v>
      </c>
      <c r="H4" t="s">
        <v>47</v>
      </c>
      <c r="I4" t="s">
        <v>57</v>
      </c>
      <c r="J4" t="s">
        <v>58</v>
      </c>
      <c r="K4" t="str">
        <f t="shared" si="3"/>
        <v>Clean Energy</v>
      </c>
      <c r="L4" t="str">
        <f t="shared" si="4"/>
        <v>Others</v>
      </c>
      <c r="M4" t="s">
        <v>38</v>
      </c>
      <c r="N4" t="str">
        <f t="shared" si="5"/>
        <v>Python</v>
      </c>
      <c r="O4" t="str">
        <f t="shared" si="6"/>
        <v>Python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tr">
        <f t="shared" si="7"/>
        <v>Good Work/Life Balance</v>
      </c>
      <c r="Y4" t="str">
        <f t="shared" si="8"/>
        <v>Good Work/Life Balance</v>
      </c>
      <c r="Z4" t="s">
        <v>41</v>
      </c>
      <c r="AA4">
        <v>23</v>
      </c>
      <c r="AB4" t="s">
        <v>61</v>
      </c>
      <c r="AC4" t="str">
        <f t="shared" si="9"/>
        <v>Nigeria</v>
      </c>
      <c r="AD4" t="str">
        <f t="shared" si="10"/>
        <v>Nigeria</v>
      </c>
      <c r="AE4" t="s">
        <v>32</v>
      </c>
      <c r="AF4" t="s">
        <v>62</v>
      </c>
      <c r="AG4" t="str">
        <f t="shared" si="0"/>
        <v>Black or African American</v>
      </c>
      <c r="AH4" t="str">
        <f t="shared" si="11"/>
        <v>Black or African American</v>
      </c>
    </row>
    <row r="5" spans="1:34" x14ac:dyDescent="0.25">
      <c r="A5" t="s">
        <v>63</v>
      </c>
      <c r="B5" t="s">
        <v>30</v>
      </c>
      <c r="C5" t="s">
        <v>64</v>
      </c>
      <c r="D5" t="s">
        <v>65</v>
      </c>
      <c r="E5" t="s">
        <v>66</v>
      </c>
      <c r="F5" t="str">
        <f t="shared" si="1"/>
        <v>Analytics Consultant</v>
      </c>
      <c r="G5" t="str">
        <f t="shared" si="2"/>
        <v>Others</v>
      </c>
      <c r="H5" t="s">
        <v>35</v>
      </c>
      <c r="I5" t="s">
        <v>67</v>
      </c>
      <c r="J5" t="s">
        <v>49</v>
      </c>
      <c r="K5" t="str">
        <f t="shared" si="3"/>
        <v>Finance</v>
      </c>
      <c r="L5" t="str">
        <f t="shared" si="4"/>
        <v>Finance</v>
      </c>
      <c r="M5" t="s">
        <v>50</v>
      </c>
      <c r="N5" t="str">
        <f t="shared" si="5"/>
        <v>R</v>
      </c>
      <c r="O5" t="str">
        <f t="shared" si="6"/>
        <v>R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tr">
        <f t="shared" si="7"/>
        <v>Remote Work</v>
      </c>
      <c r="Y5" t="str">
        <f t="shared" si="8"/>
        <v>Remote Work</v>
      </c>
      <c r="Z5" t="s">
        <v>69</v>
      </c>
      <c r="AA5">
        <v>35</v>
      </c>
      <c r="AB5" t="s">
        <v>51</v>
      </c>
      <c r="AC5" t="str">
        <f t="shared" si="9"/>
        <v>Canada</v>
      </c>
      <c r="AD5" t="str">
        <f t="shared" si="10"/>
        <v>Canada</v>
      </c>
      <c r="AE5" t="s">
        <v>32</v>
      </c>
      <c r="AF5" t="s">
        <v>43</v>
      </c>
      <c r="AG5" t="str">
        <f t="shared" si="0"/>
        <v>White or Caucasian</v>
      </c>
      <c r="AH5" t="str">
        <f t="shared" si="11"/>
        <v>White or Caucasian</v>
      </c>
    </row>
    <row r="6" spans="1:34" x14ac:dyDescent="0.25">
      <c r="A6" t="s">
        <v>70</v>
      </c>
      <c r="B6" t="s">
        <v>30</v>
      </c>
      <c r="C6" t="s">
        <v>71</v>
      </c>
      <c r="D6" t="s">
        <v>72</v>
      </c>
      <c r="E6" t="s">
        <v>34</v>
      </c>
      <c r="F6" t="str">
        <f t="shared" si="1"/>
        <v>Data Analyst</v>
      </c>
      <c r="G6" t="str">
        <f t="shared" si="2"/>
        <v>Data Analyst</v>
      </c>
      <c r="H6" t="s">
        <v>35</v>
      </c>
      <c r="I6" t="s">
        <v>48</v>
      </c>
      <c r="J6" t="s">
        <v>37</v>
      </c>
      <c r="K6" t="str">
        <f t="shared" si="3"/>
        <v>Healthcare</v>
      </c>
      <c r="L6" t="str">
        <f t="shared" si="4"/>
        <v>Healthcare</v>
      </c>
      <c r="M6" t="s">
        <v>50</v>
      </c>
      <c r="N6" t="str">
        <f t="shared" si="5"/>
        <v>R</v>
      </c>
      <c r="O6" t="str">
        <f t="shared" si="6"/>
        <v>R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tr">
        <f t="shared" si="7"/>
        <v>Better Salary</v>
      </c>
      <c r="Y6" t="str">
        <f t="shared" si="8"/>
        <v>Better Salary</v>
      </c>
      <c r="Z6" t="s">
        <v>41</v>
      </c>
      <c r="AA6">
        <v>44</v>
      </c>
      <c r="AB6" t="s">
        <v>42</v>
      </c>
      <c r="AC6" t="str">
        <f t="shared" si="9"/>
        <v>United States</v>
      </c>
      <c r="AD6" t="str">
        <f t="shared" si="10"/>
        <v>United States</v>
      </c>
      <c r="AE6" t="s">
        <v>32</v>
      </c>
      <c r="AF6" t="s">
        <v>62</v>
      </c>
      <c r="AG6" t="str">
        <f t="shared" si="0"/>
        <v>Black or African American</v>
      </c>
      <c r="AH6" t="str">
        <f t="shared" si="11"/>
        <v>Black or African American</v>
      </c>
    </row>
    <row r="7" spans="1:34" x14ac:dyDescent="0.25">
      <c r="A7" t="s">
        <v>75</v>
      </c>
      <c r="B7" t="s">
        <v>30</v>
      </c>
      <c r="C7" t="s">
        <v>71</v>
      </c>
      <c r="D7" t="s">
        <v>76</v>
      </c>
      <c r="E7" t="s">
        <v>34</v>
      </c>
      <c r="F7" t="str">
        <f t="shared" si="1"/>
        <v>Data Analyst</v>
      </c>
      <c r="G7" t="str">
        <f t="shared" si="2"/>
        <v>Data Analyst</v>
      </c>
      <c r="H7" t="s">
        <v>35</v>
      </c>
      <c r="I7" t="s">
        <v>57</v>
      </c>
      <c r="J7" t="s">
        <v>77</v>
      </c>
      <c r="K7" t="str">
        <f t="shared" si="3"/>
        <v>Coworking space</v>
      </c>
      <c r="L7" t="str">
        <f t="shared" si="4"/>
        <v>Others</v>
      </c>
      <c r="M7" t="s">
        <v>38</v>
      </c>
      <c r="N7" t="str">
        <f t="shared" si="5"/>
        <v>Python</v>
      </c>
      <c r="O7" t="str">
        <f t="shared" si="6"/>
        <v>Python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tr">
        <f t="shared" si="7"/>
        <v>Good Work/Life Balance</v>
      </c>
      <c r="Y7" t="str">
        <f t="shared" si="8"/>
        <v>Good Work/Life Balance</v>
      </c>
      <c r="Z7" t="s">
        <v>41</v>
      </c>
      <c r="AA7">
        <v>33</v>
      </c>
      <c r="AB7" t="s">
        <v>78</v>
      </c>
      <c r="AC7" t="str">
        <f t="shared" si="9"/>
        <v>Republic democratic of Congo</v>
      </c>
      <c r="AD7" t="str">
        <f t="shared" si="10"/>
        <v>Others</v>
      </c>
      <c r="AE7" t="s">
        <v>32</v>
      </c>
      <c r="AF7" t="s">
        <v>62</v>
      </c>
      <c r="AG7" t="str">
        <f t="shared" si="0"/>
        <v>Black or African American</v>
      </c>
      <c r="AH7" t="str">
        <f t="shared" si="11"/>
        <v>Black or African American</v>
      </c>
    </row>
    <row r="8" spans="1:34" x14ac:dyDescent="0.25">
      <c r="A8" t="s">
        <v>79</v>
      </c>
      <c r="B8" t="s">
        <v>30</v>
      </c>
      <c r="C8" t="s">
        <v>71</v>
      </c>
      <c r="D8" t="s">
        <v>80</v>
      </c>
      <c r="E8" t="s">
        <v>81</v>
      </c>
      <c r="F8" t="str">
        <f t="shared" si="1"/>
        <v>Data Scientist</v>
      </c>
      <c r="G8" t="str">
        <f t="shared" si="2"/>
        <v>Data Scientist</v>
      </c>
      <c r="H8" t="s">
        <v>35</v>
      </c>
      <c r="I8" t="s">
        <v>57</v>
      </c>
      <c r="J8" t="s">
        <v>49</v>
      </c>
      <c r="K8" t="str">
        <f t="shared" si="3"/>
        <v>Finance</v>
      </c>
      <c r="L8" t="str">
        <f t="shared" si="4"/>
        <v>Finance</v>
      </c>
      <c r="M8" t="s">
        <v>38</v>
      </c>
      <c r="N8" t="str">
        <f t="shared" si="5"/>
        <v>Python</v>
      </c>
      <c r="O8" t="str">
        <f t="shared" si="6"/>
        <v>Python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tr">
        <f t="shared" si="7"/>
        <v>Better Salary</v>
      </c>
      <c r="Y8" t="str">
        <f t="shared" si="8"/>
        <v>Better Salary</v>
      </c>
      <c r="Z8" t="s">
        <v>41</v>
      </c>
      <c r="AA8">
        <v>24</v>
      </c>
      <c r="AB8" t="s">
        <v>82</v>
      </c>
      <c r="AC8" t="str">
        <f t="shared" si="9"/>
        <v>Other</v>
      </c>
      <c r="AD8" t="str">
        <f t="shared" si="10"/>
        <v>Others</v>
      </c>
      <c r="AE8" t="s">
        <v>32</v>
      </c>
      <c r="AF8" t="s">
        <v>62</v>
      </c>
      <c r="AG8" t="str">
        <f t="shared" si="0"/>
        <v>Black or African American</v>
      </c>
      <c r="AH8" t="str">
        <f t="shared" si="11"/>
        <v>Black or African American</v>
      </c>
    </row>
    <row r="9" spans="1:34" x14ac:dyDescent="0.25">
      <c r="A9" t="s">
        <v>83</v>
      </c>
      <c r="B9" t="s">
        <v>30</v>
      </c>
      <c r="C9" t="s">
        <v>84</v>
      </c>
      <c r="D9" t="s">
        <v>85</v>
      </c>
      <c r="E9" t="s">
        <v>56</v>
      </c>
      <c r="F9" t="str">
        <f t="shared" si="1"/>
        <v>Data Engineer</v>
      </c>
      <c r="G9" t="str">
        <f t="shared" si="2"/>
        <v>Data Engineer</v>
      </c>
      <c r="H9" t="s">
        <v>35</v>
      </c>
      <c r="I9" t="s">
        <v>86</v>
      </c>
      <c r="J9" t="s">
        <v>87</v>
      </c>
      <c r="K9" t="str">
        <f t="shared" si="3"/>
        <v>Retail</v>
      </c>
      <c r="L9" t="str">
        <f t="shared" si="4"/>
        <v>Retail</v>
      </c>
      <c r="M9" t="s">
        <v>88</v>
      </c>
      <c r="N9" t="str">
        <f t="shared" si="5"/>
        <v>SQL</v>
      </c>
      <c r="O9" t="str">
        <f t="shared" si="6"/>
        <v>SQL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tr">
        <f t="shared" si="7"/>
        <v>Remote Work</v>
      </c>
      <c r="Y9" t="str">
        <f t="shared" si="8"/>
        <v>Remote Work</v>
      </c>
      <c r="Z9" t="s">
        <v>41</v>
      </c>
      <c r="AA9">
        <v>35</v>
      </c>
      <c r="AB9" t="s">
        <v>42</v>
      </c>
      <c r="AC9" t="str">
        <f t="shared" si="9"/>
        <v>United States</v>
      </c>
      <c r="AD9" t="str">
        <f t="shared" si="10"/>
        <v>United States</v>
      </c>
      <c r="AE9" t="s">
        <v>32</v>
      </c>
      <c r="AF9" t="s">
        <v>52</v>
      </c>
      <c r="AG9" t="str">
        <f t="shared" si="0"/>
        <v>Asian or Asian American</v>
      </c>
      <c r="AH9" t="str">
        <f t="shared" si="11"/>
        <v>Asian or Asian American</v>
      </c>
    </row>
    <row r="10" spans="1:34" x14ac:dyDescent="0.25">
      <c r="A10" t="s">
        <v>90</v>
      </c>
      <c r="B10" t="s">
        <v>30</v>
      </c>
      <c r="C10" t="s">
        <v>84</v>
      </c>
      <c r="D10" t="s">
        <v>65</v>
      </c>
      <c r="E10" t="s">
        <v>34</v>
      </c>
      <c r="F10" t="str">
        <f t="shared" si="1"/>
        <v>Data Analyst</v>
      </c>
      <c r="G10" t="str">
        <f t="shared" si="2"/>
        <v>Data Analyst</v>
      </c>
      <c r="H10" t="s">
        <v>35</v>
      </c>
      <c r="I10" t="s">
        <v>91</v>
      </c>
      <c r="J10" t="s">
        <v>37</v>
      </c>
      <c r="K10" t="str">
        <f t="shared" si="3"/>
        <v>Healthcare</v>
      </c>
      <c r="L10" t="str">
        <f t="shared" si="4"/>
        <v>Healthcare</v>
      </c>
      <c r="M10" t="s">
        <v>50</v>
      </c>
      <c r="N10" t="str">
        <f t="shared" si="5"/>
        <v>R</v>
      </c>
      <c r="O10" t="str">
        <f t="shared" si="6"/>
        <v>R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tr">
        <f t="shared" si="7"/>
        <v>Better Salary</v>
      </c>
      <c r="Y10" t="str">
        <f t="shared" si="8"/>
        <v>Better Salary</v>
      </c>
      <c r="Z10" t="s">
        <v>41</v>
      </c>
      <c r="AA10">
        <v>35</v>
      </c>
      <c r="AB10" t="s">
        <v>42</v>
      </c>
      <c r="AC10" t="str">
        <f t="shared" si="9"/>
        <v>United States</v>
      </c>
      <c r="AD10" t="str">
        <f t="shared" si="10"/>
        <v>United States</v>
      </c>
      <c r="AE10" t="s">
        <v>32</v>
      </c>
      <c r="AF10" t="s">
        <v>52</v>
      </c>
      <c r="AG10" t="str">
        <f t="shared" si="0"/>
        <v>Asian or Asian American</v>
      </c>
      <c r="AH10" t="str">
        <f t="shared" si="11"/>
        <v>Asian or Asian American</v>
      </c>
    </row>
    <row r="11" spans="1:34" x14ac:dyDescent="0.25">
      <c r="A11" t="s">
        <v>92</v>
      </c>
      <c r="B11" t="s">
        <v>30</v>
      </c>
      <c r="C11" t="s">
        <v>84</v>
      </c>
      <c r="D11" t="s">
        <v>93</v>
      </c>
      <c r="E11" t="s">
        <v>34</v>
      </c>
      <c r="F11" t="str">
        <f t="shared" si="1"/>
        <v>Data Analyst</v>
      </c>
      <c r="G11" t="str">
        <f t="shared" si="2"/>
        <v>Data Analyst</v>
      </c>
      <c r="H11" t="s">
        <v>35</v>
      </c>
      <c r="I11" t="s">
        <v>48</v>
      </c>
      <c r="J11" t="s">
        <v>94</v>
      </c>
      <c r="K11" t="str">
        <f t="shared" si="3"/>
        <v>Telecommunication</v>
      </c>
      <c r="L11" t="str">
        <f t="shared" si="4"/>
        <v>Telecommunication</v>
      </c>
      <c r="M11" t="s">
        <v>38</v>
      </c>
      <c r="N11" t="str">
        <f t="shared" si="5"/>
        <v>Python</v>
      </c>
      <c r="O11" t="str">
        <f t="shared" si="6"/>
        <v>Python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tr">
        <f t="shared" si="7"/>
        <v>Better Salary</v>
      </c>
      <c r="Y11" t="str">
        <f t="shared" si="8"/>
        <v>Better Salary</v>
      </c>
      <c r="Z11" t="s">
        <v>41</v>
      </c>
      <c r="AA11">
        <v>28</v>
      </c>
      <c r="AB11" t="s">
        <v>42</v>
      </c>
      <c r="AC11" t="str">
        <f t="shared" si="9"/>
        <v>United States</v>
      </c>
      <c r="AD11" t="str">
        <f t="shared" si="10"/>
        <v>United States</v>
      </c>
      <c r="AE11" t="s">
        <v>32</v>
      </c>
      <c r="AF11" t="s">
        <v>95</v>
      </c>
      <c r="AG11" t="str">
        <f t="shared" si="0"/>
        <v>Hispanic or Latino</v>
      </c>
      <c r="AH11" t="str">
        <f t="shared" si="11"/>
        <v>Hispanic or Latino</v>
      </c>
    </row>
    <row r="12" spans="1:34" x14ac:dyDescent="0.25">
      <c r="A12" t="s">
        <v>96</v>
      </c>
      <c r="B12" t="s">
        <v>30</v>
      </c>
      <c r="C12" t="s">
        <v>84</v>
      </c>
      <c r="D12" t="s">
        <v>97</v>
      </c>
      <c r="E12" t="s">
        <v>34</v>
      </c>
      <c r="F12" t="str">
        <f t="shared" si="1"/>
        <v>Data Analyst</v>
      </c>
      <c r="G12" t="str">
        <f t="shared" si="2"/>
        <v>Data Analyst</v>
      </c>
      <c r="H12" t="s">
        <v>35</v>
      </c>
      <c r="I12" t="s">
        <v>98</v>
      </c>
      <c r="J12" t="s">
        <v>99</v>
      </c>
      <c r="K12" t="str">
        <f t="shared" si="3"/>
        <v>Logistics</v>
      </c>
      <c r="L12" t="str">
        <f t="shared" si="4"/>
        <v>Others</v>
      </c>
      <c r="M12" t="s">
        <v>38</v>
      </c>
      <c r="N12" t="str">
        <f t="shared" si="5"/>
        <v>Python</v>
      </c>
      <c r="O12" t="str">
        <f t="shared" si="6"/>
        <v>Python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tr">
        <f t="shared" si="7"/>
        <v>Remote Work</v>
      </c>
      <c r="Y12" t="str">
        <f t="shared" si="8"/>
        <v>Remote Work</v>
      </c>
      <c r="Z12" t="s">
        <v>41</v>
      </c>
      <c r="AA12">
        <v>37</v>
      </c>
      <c r="AB12" t="s">
        <v>51</v>
      </c>
      <c r="AC12" t="str">
        <f t="shared" si="9"/>
        <v>Canada</v>
      </c>
      <c r="AD12" t="str">
        <f t="shared" si="10"/>
        <v>Canada</v>
      </c>
      <c r="AE12" t="s">
        <v>32</v>
      </c>
      <c r="AF12" t="s">
        <v>43</v>
      </c>
      <c r="AG12" t="str">
        <f t="shared" si="0"/>
        <v>White or Caucasian</v>
      </c>
      <c r="AH12" t="str">
        <f t="shared" si="11"/>
        <v>White or Caucasian</v>
      </c>
    </row>
    <row r="13" spans="1:34" x14ac:dyDescent="0.25">
      <c r="A13" t="s">
        <v>100</v>
      </c>
      <c r="B13" t="s">
        <v>30</v>
      </c>
      <c r="C13" t="s">
        <v>84</v>
      </c>
      <c r="D13" t="s">
        <v>101</v>
      </c>
      <c r="E13" t="s">
        <v>34</v>
      </c>
      <c r="F13" t="str">
        <f t="shared" si="1"/>
        <v>Data Analyst</v>
      </c>
      <c r="G13" t="str">
        <f t="shared" si="2"/>
        <v>Data Analyst</v>
      </c>
      <c r="H13" t="s">
        <v>35</v>
      </c>
      <c r="I13" t="s">
        <v>57</v>
      </c>
      <c r="J13" t="s">
        <v>102</v>
      </c>
      <c r="K13" t="str">
        <f t="shared" si="3"/>
        <v>Igaming</v>
      </c>
      <c r="L13" t="str">
        <f t="shared" si="4"/>
        <v>Others</v>
      </c>
      <c r="M13" t="s">
        <v>38</v>
      </c>
      <c r="N13" t="str">
        <f t="shared" si="5"/>
        <v>Python</v>
      </c>
      <c r="O13" t="str">
        <f t="shared" si="6"/>
        <v>Python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tr">
        <f t="shared" si="7"/>
        <v>Better Salary</v>
      </c>
      <c r="Y13" t="str">
        <f t="shared" si="8"/>
        <v>Better Salary</v>
      </c>
      <c r="Z13" t="s">
        <v>41</v>
      </c>
      <c r="AA13">
        <v>32</v>
      </c>
      <c r="AB13" t="s">
        <v>103</v>
      </c>
      <c r="AC13" t="str">
        <f t="shared" si="9"/>
        <v>Serbia</v>
      </c>
      <c r="AD13" t="str">
        <f t="shared" si="10"/>
        <v>Others</v>
      </c>
      <c r="AE13" t="s">
        <v>32</v>
      </c>
      <c r="AF13" t="s">
        <v>43</v>
      </c>
      <c r="AG13" t="str">
        <f t="shared" si="0"/>
        <v>White or Caucasian</v>
      </c>
      <c r="AH13" t="str">
        <f t="shared" si="11"/>
        <v>White or Caucasian</v>
      </c>
    </row>
    <row r="14" spans="1:34" x14ac:dyDescent="0.25">
      <c r="A14" t="s">
        <v>104</v>
      </c>
      <c r="B14" t="s">
        <v>30</v>
      </c>
      <c r="C14" t="s">
        <v>105</v>
      </c>
      <c r="D14" t="s">
        <v>106</v>
      </c>
      <c r="E14" t="s">
        <v>34</v>
      </c>
      <c r="F14" t="str">
        <f t="shared" si="1"/>
        <v>Data Analyst</v>
      </c>
      <c r="G14" t="str">
        <f t="shared" si="2"/>
        <v>Data Analyst</v>
      </c>
      <c r="H14" t="s">
        <v>35</v>
      </c>
      <c r="I14" t="s">
        <v>57</v>
      </c>
      <c r="J14" t="s">
        <v>107</v>
      </c>
      <c r="K14" t="str">
        <f t="shared" si="3"/>
        <v>Tech</v>
      </c>
      <c r="L14" t="str">
        <f t="shared" si="4"/>
        <v>Tech</v>
      </c>
      <c r="M14" t="s">
        <v>50</v>
      </c>
      <c r="N14" t="str">
        <f t="shared" si="5"/>
        <v>R</v>
      </c>
      <c r="O14" t="str">
        <f t="shared" si="6"/>
        <v>R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tr">
        <f t="shared" si="7"/>
        <v>Better Salary</v>
      </c>
      <c r="Y14" t="str">
        <f t="shared" si="8"/>
        <v>Better Salary</v>
      </c>
      <c r="Z14" t="s">
        <v>41</v>
      </c>
      <c r="AA14">
        <v>34</v>
      </c>
      <c r="AB14" t="s">
        <v>108</v>
      </c>
      <c r="AC14" t="str">
        <f t="shared" si="9"/>
        <v>Argentina</v>
      </c>
      <c r="AD14" t="str">
        <f t="shared" si="10"/>
        <v>Argentina</v>
      </c>
      <c r="AE14" t="s">
        <v>32</v>
      </c>
      <c r="AF14" t="s">
        <v>109</v>
      </c>
      <c r="AG14" t="str">
        <f t="shared" si="0"/>
        <v>Latino with Italian roots</v>
      </c>
      <c r="AH14" t="str">
        <f t="shared" si="11"/>
        <v>Others</v>
      </c>
    </row>
    <row r="15" spans="1:34" x14ac:dyDescent="0.25">
      <c r="A15" t="s">
        <v>110</v>
      </c>
      <c r="B15" t="s">
        <v>30</v>
      </c>
      <c r="C15" t="s">
        <v>105</v>
      </c>
      <c r="D15" t="s">
        <v>111</v>
      </c>
      <c r="E15" t="s">
        <v>81</v>
      </c>
      <c r="F15" t="str">
        <f t="shared" si="1"/>
        <v>Data Scientist</v>
      </c>
      <c r="G15" t="str">
        <f t="shared" si="2"/>
        <v>Data Scientist</v>
      </c>
      <c r="H15" t="s">
        <v>35</v>
      </c>
      <c r="I15" t="s">
        <v>57</v>
      </c>
      <c r="J15" t="s">
        <v>112</v>
      </c>
      <c r="K15" t="str">
        <f t="shared" si="3"/>
        <v>Education</v>
      </c>
      <c r="L15" t="str">
        <f t="shared" si="4"/>
        <v>Education</v>
      </c>
      <c r="M15" t="s">
        <v>38</v>
      </c>
      <c r="N15" t="str">
        <f t="shared" si="5"/>
        <v>Python</v>
      </c>
      <c r="O15" t="str">
        <f t="shared" si="6"/>
        <v>Python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tr">
        <f t="shared" si="7"/>
        <v>Good Work/Life Balance</v>
      </c>
      <c r="Y15" t="str">
        <f t="shared" si="8"/>
        <v>Good Work/Life Balance</v>
      </c>
      <c r="Z15" t="s">
        <v>41</v>
      </c>
      <c r="AA15">
        <v>30</v>
      </c>
      <c r="AB15" t="s">
        <v>113</v>
      </c>
      <c r="AC15" t="str">
        <f t="shared" si="9"/>
        <v>United Kingdom</v>
      </c>
      <c r="AD15" t="str">
        <f t="shared" si="10"/>
        <v>United Kingdom</v>
      </c>
      <c r="AE15" t="s">
        <v>32</v>
      </c>
      <c r="AF15" t="s">
        <v>43</v>
      </c>
      <c r="AG15" t="str">
        <f t="shared" si="0"/>
        <v>White or Caucasian</v>
      </c>
      <c r="AH15" t="str">
        <f t="shared" si="11"/>
        <v>White or Caucasian</v>
      </c>
    </row>
    <row r="16" spans="1:34" x14ac:dyDescent="0.25">
      <c r="A16" t="s">
        <v>114</v>
      </c>
      <c r="B16" t="s">
        <v>30</v>
      </c>
      <c r="C16" t="s">
        <v>115</v>
      </c>
      <c r="D16" t="s">
        <v>116</v>
      </c>
      <c r="E16" t="s">
        <v>34</v>
      </c>
      <c r="F16" t="str">
        <f t="shared" si="1"/>
        <v>Data Analyst</v>
      </c>
      <c r="G16" t="str">
        <f t="shared" si="2"/>
        <v>Data Analyst</v>
      </c>
      <c r="H16" t="s">
        <v>47</v>
      </c>
      <c r="I16" t="s">
        <v>48</v>
      </c>
      <c r="J16" t="s">
        <v>117</v>
      </c>
      <c r="K16" t="str">
        <f t="shared" si="3"/>
        <v>Construction</v>
      </c>
      <c r="L16" t="str">
        <f t="shared" si="4"/>
        <v>Construction</v>
      </c>
      <c r="M16" t="s">
        <v>50</v>
      </c>
      <c r="N16" t="str">
        <f t="shared" si="5"/>
        <v>R</v>
      </c>
      <c r="O16" t="str">
        <f t="shared" si="6"/>
        <v>R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tr">
        <f t="shared" si="7"/>
        <v>Good Culture</v>
      </c>
      <c r="Y16" t="str">
        <f t="shared" si="8"/>
        <v>Good Culture</v>
      </c>
      <c r="Z16" t="s">
        <v>41</v>
      </c>
      <c r="AA16">
        <v>31</v>
      </c>
      <c r="AB16" t="s">
        <v>42</v>
      </c>
      <c r="AC16" t="str">
        <f t="shared" si="9"/>
        <v>United States</v>
      </c>
      <c r="AD16" t="str">
        <f t="shared" si="10"/>
        <v>United States</v>
      </c>
      <c r="AE16" t="s">
        <v>32</v>
      </c>
      <c r="AF16" t="s">
        <v>43</v>
      </c>
      <c r="AG16" t="str">
        <f t="shared" si="0"/>
        <v>White or Caucasian</v>
      </c>
      <c r="AH16" t="str">
        <f t="shared" si="11"/>
        <v>White or Caucasian</v>
      </c>
    </row>
    <row r="17" spans="1:34" x14ac:dyDescent="0.25">
      <c r="A17" t="s">
        <v>119</v>
      </c>
      <c r="B17" t="s">
        <v>30</v>
      </c>
      <c r="C17" t="s">
        <v>115</v>
      </c>
      <c r="D17" t="s">
        <v>120</v>
      </c>
      <c r="E17" t="s">
        <v>34</v>
      </c>
      <c r="F17" t="str">
        <f t="shared" si="1"/>
        <v>Data Analyst</v>
      </c>
      <c r="G17" t="str">
        <f t="shared" si="2"/>
        <v>Data Analyst</v>
      </c>
      <c r="H17" t="s">
        <v>35</v>
      </c>
      <c r="I17" t="s">
        <v>48</v>
      </c>
      <c r="J17" t="s">
        <v>49</v>
      </c>
      <c r="K17" t="str">
        <f t="shared" si="3"/>
        <v>Finance</v>
      </c>
      <c r="L17" t="str">
        <f t="shared" si="4"/>
        <v>Finance</v>
      </c>
      <c r="M17" t="s">
        <v>38</v>
      </c>
      <c r="N17" t="str">
        <f t="shared" si="5"/>
        <v>Python</v>
      </c>
      <c r="O17" t="str">
        <f t="shared" si="6"/>
        <v>Python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tr">
        <f t="shared" si="7"/>
        <v>Good Culture</v>
      </c>
      <c r="Y17" t="str">
        <f t="shared" si="8"/>
        <v>Good Culture</v>
      </c>
      <c r="Z17" t="s">
        <v>41</v>
      </c>
      <c r="AA17">
        <v>29</v>
      </c>
      <c r="AB17" t="s">
        <v>42</v>
      </c>
      <c r="AC17" t="str">
        <f t="shared" si="9"/>
        <v>United States</v>
      </c>
      <c r="AD17" t="str">
        <f t="shared" si="10"/>
        <v>United States</v>
      </c>
      <c r="AE17" t="s">
        <v>32</v>
      </c>
      <c r="AF17" t="s">
        <v>43</v>
      </c>
      <c r="AG17" t="str">
        <f t="shared" si="0"/>
        <v>White or Caucasian</v>
      </c>
      <c r="AH17" t="str">
        <f t="shared" si="11"/>
        <v>White or Caucasian</v>
      </c>
    </row>
    <row r="18" spans="1:34" x14ac:dyDescent="0.25">
      <c r="A18" t="s">
        <v>121</v>
      </c>
      <c r="B18" t="s">
        <v>30</v>
      </c>
      <c r="C18" t="s">
        <v>122</v>
      </c>
      <c r="D18" t="s">
        <v>123</v>
      </c>
      <c r="E18" t="s">
        <v>34</v>
      </c>
      <c r="F18" t="str">
        <f t="shared" si="1"/>
        <v>Data Analyst</v>
      </c>
      <c r="G18" t="str">
        <f t="shared" si="2"/>
        <v>Data Analyst</v>
      </c>
      <c r="H18" t="s">
        <v>35</v>
      </c>
      <c r="I18" t="s">
        <v>57</v>
      </c>
      <c r="J18" t="s">
        <v>107</v>
      </c>
      <c r="K18" t="str">
        <f t="shared" si="3"/>
        <v>Tech</v>
      </c>
      <c r="L18" t="str">
        <f t="shared" si="4"/>
        <v>Tech</v>
      </c>
      <c r="M18" t="s">
        <v>38</v>
      </c>
      <c r="N18" t="str">
        <f t="shared" si="5"/>
        <v>Python</v>
      </c>
      <c r="O18" t="str">
        <f t="shared" si="6"/>
        <v>Python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tr">
        <f t="shared" si="7"/>
        <v>Better Salary</v>
      </c>
      <c r="Y18" t="str">
        <f t="shared" si="8"/>
        <v>Better Salary</v>
      </c>
      <c r="Z18" t="s">
        <v>41</v>
      </c>
      <c r="AA18">
        <v>22</v>
      </c>
      <c r="AB18" t="s">
        <v>124</v>
      </c>
      <c r="AC18" t="str">
        <f t="shared" si="9"/>
        <v>Niger</v>
      </c>
      <c r="AD18" t="str">
        <f t="shared" si="10"/>
        <v>Others</v>
      </c>
      <c r="AE18" t="s">
        <v>32</v>
      </c>
      <c r="AF18" t="s">
        <v>62</v>
      </c>
      <c r="AG18" t="str">
        <f t="shared" si="0"/>
        <v>Black or African American</v>
      </c>
      <c r="AH18" t="str">
        <f t="shared" si="11"/>
        <v>Black or African American</v>
      </c>
    </row>
    <row r="19" spans="1:34" x14ac:dyDescent="0.25">
      <c r="A19" t="s">
        <v>125</v>
      </c>
      <c r="B19" t="s">
        <v>30</v>
      </c>
      <c r="C19" t="s">
        <v>122</v>
      </c>
      <c r="D19" t="s">
        <v>126</v>
      </c>
      <c r="E19" t="s">
        <v>127</v>
      </c>
      <c r="F19" t="str">
        <f t="shared" si="1"/>
        <v>Student/Looking/None</v>
      </c>
      <c r="G19" t="str">
        <f t="shared" si="2"/>
        <v>Student/Looking/None</v>
      </c>
      <c r="H19" t="s">
        <v>35</v>
      </c>
      <c r="I19" t="s">
        <v>57</v>
      </c>
      <c r="J19" t="s">
        <v>87</v>
      </c>
      <c r="K19" t="str">
        <f t="shared" si="3"/>
        <v>Retail</v>
      </c>
      <c r="L19" t="str">
        <f t="shared" si="4"/>
        <v>Retail</v>
      </c>
      <c r="M19" t="s">
        <v>38</v>
      </c>
      <c r="N19" t="str">
        <f t="shared" si="5"/>
        <v>Python</v>
      </c>
      <c r="O19" t="str">
        <f t="shared" si="6"/>
        <v>Python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tr">
        <f t="shared" si="7"/>
        <v>Better Salary</v>
      </c>
      <c r="Y19" t="str">
        <f t="shared" si="8"/>
        <v>Better Salary</v>
      </c>
      <c r="Z19" t="s">
        <v>41</v>
      </c>
      <c r="AA19">
        <v>23</v>
      </c>
      <c r="AB19" t="s">
        <v>42</v>
      </c>
      <c r="AC19" t="str">
        <f t="shared" si="9"/>
        <v>United States</v>
      </c>
      <c r="AD19" t="str">
        <f t="shared" si="10"/>
        <v>United States</v>
      </c>
      <c r="AE19" t="s">
        <v>32</v>
      </c>
      <c r="AF19" t="s">
        <v>62</v>
      </c>
      <c r="AG19" t="str">
        <f t="shared" si="0"/>
        <v>Black or African American</v>
      </c>
      <c r="AH19" t="str">
        <f t="shared" si="11"/>
        <v>Black or African American</v>
      </c>
    </row>
    <row r="20" spans="1:34" x14ac:dyDescent="0.25">
      <c r="A20" t="s">
        <v>128</v>
      </c>
      <c r="B20" t="s">
        <v>30</v>
      </c>
      <c r="C20" t="s">
        <v>129</v>
      </c>
      <c r="D20" t="s">
        <v>130</v>
      </c>
      <c r="E20" t="s">
        <v>127</v>
      </c>
      <c r="F20" t="str">
        <f t="shared" si="1"/>
        <v>Student/Looking/None</v>
      </c>
      <c r="G20" t="str">
        <f t="shared" si="2"/>
        <v>Student/Looking/None</v>
      </c>
      <c r="H20" t="s">
        <v>47</v>
      </c>
      <c r="I20" t="s">
        <v>48</v>
      </c>
      <c r="J20" t="s">
        <v>107</v>
      </c>
      <c r="K20" t="str">
        <f t="shared" si="3"/>
        <v>Tech</v>
      </c>
      <c r="L20" t="str">
        <f t="shared" si="4"/>
        <v>Tech</v>
      </c>
      <c r="M20" t="s">
        <v>50</v>
      </c>
      <c r="N20" t="str">
        <f t="shared" si="5"/>
        <v>R</v>
      </c>
      <c r="O20" t="str">
        <f t="shared" si="6"/>
        <v>R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tr">
        <f t="shared" si="7"/>
        <v>Better Salary</v>
      </c>
      <c r="Y20" t="str">
        <f t="shared" si="8"/>
        <v>Better Salary</v>
      </c>
      <c r="Z20" t="s">
        <v>69</v>
      </c>
      <c r="AA20">
        <v>26</v>
      </c>
      <c r="AB20" t="s">
        <v>51</v>
      </c>
      <c r="AC20" t="str">
        <f t="shared" si="9"/>
        <v>Canada</v>
      </c>
      <c r="AD20" t="str">
        <f t="shared" si="10"/>
        <v>Canada</v>
      </c>
      <c r="AE20" t="s">
        <v>32</v>
      </c>
      <c r="AF20" t="s">
        <v>52</v>
      </c>
      <c r="AG20" t="str">
        <f t="shared" si="0"/>
        <v>Asian or Asian American</v>
      </c>
      <c r="AH20" t="str">
        <f t="shared" si="11"/>
        <v>Asian or Asian American</v>
      </c>
    </row>
    <row r="21" spans="1:34" x14ac:dyDescent="0.25">
      <c r="A21" t="s">
        <v>131</v>
      </c>
      <c r="B21" t="s">
        <v>30</v>
      </c>
      <c r="C21" t="s">
        <v>129</v>
      </c>
      <c r="D21" t="s">
        <v>132</v>
      </c>
      <c r="E21" t="s">
        <v>34</v>
      </c>
      <c r="F21" t="str">
        <f t="shared" si="1"/>
        <v>Data Analyst</v>
      </c>
      <c r="G21" t="str">
        <f t="shared" si="2"/>
        <v>Data Analyst</v>
      </c>
      <c r="H21" t="s">
        <v>47</v>
      </c>
      <c r="I21" t="s">
        <v>57</v>
      </c>
      <c r="J21" t="s">
        <v>133</v>
      </c>
      <c r="K21" t="str">
        <f t="shared" si="3"/>
        <v>Aviation</v>
      </c>
      <c r="L21" t="str">
        <f t="shared" si="4"/>
        <v>Others</v>
      </c>
      <c r="M21" t="s">
        <v>38</v>
      </c>
      <c r="N21" t="str">
        <f t="shared" si="5"/>
        <v>Python</v>
      </c>
      <c r="O21" t="str">
        <f t="shared" si="6"/>
        <v>Python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tr">
        <f t="shared" si="7"/>
        <v>Better Salary</v>
      </c>
      <c r="Y21" t="str">
        <f t="shared" si="8"/>
        <v>Better Salary</v>
      </c>
      <c r="Z21" t="s">
        <v>41</v>
      </c>
      <c r="AA21">
        <v>28</v>
      </c>
      <c r="AB21" t="s">
        <v>61</v>
      </c>
      <c r="AC21" t="str">
        <f t="shared" si="9"/>
        <v>Nigeria</v>
      </c>
      <c r="AD21" t="str">
        <f t="shared" si="10"/>
        <v>Nigeria</v>
      </c>
      <c r="AE21" t="s">
        <v>32</v>
      </c>
      <c r="AF21" t="s">
        <v>62</v>
      </c>
      <c r="AG21" t="str">
        <f t="shared" si="0"/>
        <v>Black or African American</v>
      </c>
      <c r="AH21" t="str">
        <f t="shared" si="11"/>
        <v>Black or African American</v>
      </c>
    </row>
    <row r="22" spans="1:34" x14ac:dyDescent="0.25">
      <c r="A22" t="s">
        <v>134</v>
      </c>
      <c r="B22" t="s">
        <v>30</v>
      </c>
      <c r="C22" t="s">
        <v>129</v>
      </c>
      <c r="D22" t="s">
        <v>135</v>
      </c>
      <c r="E22" t="s">
        <v>34</v>
      </c>
      <c r="F22" t="str">
        <f t="shared" si="1"/>
        <v>Data Analyst</v>
      </c>
      <c r="G22" t="str">
        <f t="shared" si="2"/>
        <v>Data Analyst</v>
      </c>
      <c r="H22" t="s">
        <v>35</v>
      </c>
      <c r="I22" t="s">
        <v>48</v>
      </c>
      <c r="J22" t="s">
        <v>49</v>
      </c>
      <c r="K22" t="str">
        <f t="shared" si="3"/>
        <v>Finance</v>
      </c>
      <c r="L22" t="str">
        <f t="shared" si="4"/>
        <v>Finance</v>
      </c>
      <c r="M22" t="s">
        <v>38</v>
      </c>
      <c r="N22" t="str">
        <f t="shared" si="5"/>
        <v>Python</v>
      </c>
      <c r="O22" t="str">
        <f t="shared" si="6"/>
        <v>Python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tr">
        <f t="shared" si="7"/>
        <v>Remote Work</v>
      </c>
      <c r="Y22" t="str">
        <f t="shared" si="8"/>
        <v>Remote Work</v>
      </c>
      <c r="Z22" t="s">
        <v>41</v>
      </c>
      <c r="AA22">
        <v>29</v>
      </c>
      <c r="AB22" t="s">
        <v>136</v>
      </c>
      <c r="AC22" t="str">
        <f t="shared" si="9"/>
        <v>Kenya</v>
      </c>
      <c r="AD22" t="str">
        <f t="shared" si="10"/>
        <v>Kenya</v>
      </c>
      <c r="AE22" t="s">
        <v>32</v>
      </c>
      <c r="AF22" t="s">
        <v>62</v>
      </c>
      <c r="AG22" t="str">
        <f t="shared" si="0"/>
        <v>Black or African American</v>
      </c>
      <c r="AH22" t="str">
        <f t="shared" si="11"/>
        <v>Black or African American</v>
      </c>
    </row>
    <row r="23" spans="1:34" x14ac:dyDescent="0.25">
      <c r="A23" t="s">
        <v>137</v>
      </c>
      <c r="B23" t="s">
        <v>30</v>
      </c>
      <c r="C23" t="s">
        <v>138</v>
      </c>
      <c r="D23" t="s">
        <v>139</v>
      </c>
      <c r="E23" t="s">
        <v>34</v>
      </c>
      <c r="F23" t="str">
        <f t="shared" si="1"/>
        <v>Data Analyst</v>
      </c>
      <c r="G23" t="str">
        <f t="shared" si="2"/>
        <v>Data Analyst</v>
      </c>
      <c r="H23" t="s">
        <v>35</v>
      </c>
      <c r="I23" t="s">
        <v>36</v>
      </c>
      <c r="J23" t="s">
        <v>107</v>
      </c>
      <c r="K23" t="str">
        <f t="shared" si="3"/>
        <v>Tech</v>
      </c>
      <c r="L23" t="str">
        <f t="shared" si="4"/>
        <v>Tech</v>
      </c>
      <c r="M23" t="s">
        <v>140</v>
      </c>
      <c r="N23" t="str">
        <f t="shared" si="5"/>
        <v>Mostly use sql but that’s not programming language..</v>
      </c>
      <c r="O23" t="str">
        <f t="shared" si="6"/>
        <v>Others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tr">
        <f t="shared" si="7"/>
        <v>Remote Work</v>
      </c>
      <c r="Y23" t="str">
        <f t="shared" si="8"/>
        <v>Remote Work</v>
      </c>
      <c r="Z23" t="s">
        <v>69</v>
      </c>
      <c r="AA23">
        <v>31</v>
      </c>
      <c r="AB23" t="s">
        <v>42</v>
      </c>
      <c r="AC23" t="str">
        <f t="shared" si="9"/>
        <v>United States</v>
      </c>
      <c r="AD23" t="str">
        <f t="shared" si="10"/>
        <v>United States</v>
      </c>
      <c r="AE23" t="s">
        <v>32</v>
      </c>
      <c r="AF23" t="s">
        <v>43</v>
      </c>
      <c r="AG23" t="str">
        <f t="shared" si="0"/>
        <v>White or Caucasian</v>
      </c>
      <c r="AH23" t="str">
        <f t="shared" si="11"/>
        <v>White or Caucasian</v>
      </c>
    </row>
    <row r="24" spans="1:34" x14ac:dyDescent="0.25">
      <c r="A24" t="s">
        <v>141</v>
      </c>
      <c r="B24" t="s">
        <v>30</v>
      </c>
      <c r="C24" t="s">
        <v>142</v>
      </c>
      <c r="D24" t="s">
        <v>85</v>
      </c>
      <c r="E24" t="s">
        <v>34</v>
      </c>
      <c r="F24" t="str">
        <f t="shared" si="1"/>
        <v>Data Analyst</v>
      </c>
      <c r="G24" t="str">
        <f t="shared" si="2"/>
        <v>Data Analyst</v>
      </c>
      <c r="H24" t="s">
        <v>35</v>
      </c>
      <c r="I24" t="s">
        <v>57</v>
      </c>
      <c r="J24" t="s">
        <v>37</v>
      </c>
      <c r="K24" t="str">
        <f t="shared" si="3"/>
        <v>Healthcare</v>
      </c>
      <c r="L24" t="str">
        <f t="shared" si="4"/>
        <v>Healthcare</v>
      </c>
      <c r="M24" t="s">
        <v>38</v>
      </c>
      <c r="N24" t="str">
        <f t="shared" si="5"/>
        <v>Python</v>
      </c>
      <c r="O24" t="str">
        <f t="shared" si="6"/>
        <v>Python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tr">
        <f t="shared" si="7"/>
        <v>Remote Work</v>
      </c>
      <c r="Y24" t="str">
        <f t="shared" si="8"/>
        <v>Remote Work</v>
      </c>
      <c r="Z24" t="s">
        <v>41</v>
      </c>
      <c r="AA24">
        <v>28</v>
      </c>
      <c r="AB24" t="s">
        <v>143</v>
      </c>
      <c r="AC24" t="str">
        <f t="shared" si="9"/>
        <v>Azerbaijan</v>
      </c>
      <c r="AD24" t="str">
        <f t="shared" si="10"/>
        <v>Others</v>
      </c>
      <c r="AE24" t="s">
        <v>32</v>
      </c>
      <c r="AF24" t="s">
        <v>43</v>
      </c>
      <c r="AG24" t="str">
        <f t="shared" si="0"/>
        <v>White or Caucasian</v>
      </c>
      <c r="AH24" t="str">
        <f t="shared" si="11"/>
        <v>White or Caucasian</v>
      </c>
    </row>
    <row r="25" spans="1:34" x14ac:dyDescent="0.25">
      <c r="A25" t="s">
        <v>144</v>
      </c>
      <c r="B25" t="s">
        <v>30</v>
      </c>
      <c r="C25" t="s">
        <v>142</v>
      </c>
      <c r="D25" t="s">
        <v>145</v>
      </c>
      <c r="E25" t="s">
        <v>34</v>
      </c>
      <c r="F25" t="str">
        <f t="shared" si="1"/>
        <v>Data Analyst</v>
      </c>
      <c r="G25" t="str">
        <f t="shared" si="2"/>
        <v>Data Analyst</v>
      </c>
      <c r="H25" t="s">
        <v>47</v>
      </c>
      <c r="I25" t="s">
        <v>57</v>
      </c>
      <c r="J25" t="s">
        <v>49</v>
      </c>
      <c r="K25" t="str">
        <f t="shared" si="3"/>
        <v>Finance</v>
      </c>
      <c r="L25" t="str">
        <f t="shared" si="4"/>
        <v>Finance</v>
      </c>
      <c r="M25" t="s">
        <v>38</v>
      </c>
      <c r="N25" t="str">
        <f t="shared" si="5"/>
        <v>Python</v>
      </c>
      <c r="O25" t="str">
        <f t="shared" si="6"/>
        <v>Python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tr">
        <f t="shared" si="7"/>
        <v>Better Salary</v>
      </c>
      <c r="Y25" t="str">
        <f t="shared" si="8"/>
        <v>Better Salary</v>
      </c>
      <c r="Z25" t="s">
        <v>41</v>
      </c>
      <c r="AA25">
        <v>32</v>
      </c>
      <c r="AB25" t="s">
        <v>108</v>
      </c>
      <c r="AC25" t="str">
        <f t="shared" si="9"/>
        <v>Argentina</v>
      </c>
      <c r="AD25" t="str">
        <f t="shared" si="10"/>
        <v>Argentina</v>
      </c>
      <c r="AE25" t="s">
        <v>32</v>
      </c>
      <c r="AF25" t="s">
        <v>95</v>
      </c>
      <c r="AG25" t="str">
        <f t="shared" si="0"/>
        <v>Hispanic or Latino</v>
      </c>
      <c r="AH25" t="str">
        <f t="shared" si="11"/>
        <v>Hispanic or Latino</v>
      </c>
    </row>
    <row r="26" spans="1:34" x14ac:dyDescent="0.25">
      <c r="A26" t="s">
        <v>146</v>
      </c>
      <c r="B26" t="s">
        <v>30</v>
      </c>
      <c r="C26" t="s">
        <v>142</v>
      </c>
      <c r="D26" t="s">
        <v>147</v>
      </c>
      <c r="E26" t="s">
        <v>34</v>
      </c>
      <c r="F26" t="str">
        <f t="shared" si="1"/>
        <v>Data Analyst</v>
      </c>
      <c r="G26" t="str">
        <f t="shared" si="2"/>
        <v>Data Analyst</v>
      </c>
      <c r="H26" t="s">
        <v>47</v>
      </c>
      <c r="I26" t="s">
        <v>57</v>
      </c>
      <c r="J26" t="s">
        <v>107</v>
      </c>
      <c r="K26" t="str">
        <f t="shared" si="3"/>
        <v>Tech</v>
      </c>
      <c r="L26" t="str">
        <f t="shared" si="4"/>
        <v>Tech</v>
      </c>
      <c r="M26" t="s">
        <v>38</v>
      </c>
      <c r="N26" t="str">
        <f t="shared" si="5"/>
        <v>Python</v>
      </c>
      <c r="O26" t="str">
        <f t="shared" si="6"/>
        <v>Python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tr">
        <f t="shared" si="7"/>
        <v>Better Salary</v>
      </c>
      <c r="Y26" t="str">
        <f t="shared" si="8"/>
        <v>Better Salary</v>
      </c>
      <c r="Z26" t="s">
        <v>41</v>
      </c>
      <c r="AA26">
        <v>24</v>
      </c>
      <c r="AB26" t="s">
        <v>148</v>
      </c>
      <c r="AC26" t="str">
        <f t="shared" si="9"/>
        <v>Sudan</v>
      </c>
      <c r="AD26" t="str">
        <f t="shared" si="10"/>
        <v>Others</v>
      </c>
      <c r="AE26" t="s">
        <v>32</v>
      </c>
      <c r="AF26" t="s">
        <v>62</v>
      </c>
      <c r="AG26" t="str">
        <f t="shared" si="0"/>
        <v>Black or African American</v>
      </c>
      <c r="AH26" t="str">
        <f t="shared" si="11"/>
        <v>Black or African American</v>
      </c>
    </row>
    <row r="27" spans="1:34" x14ac:dyDescent="0.25">
      <c r="A27" t="s">
        <v>149</v>
      </c>
      <c r="B27" t="s">
        <v>30</v>
      </c>
      <c r="C27" t="s">
        <v>142</v>
      </c>
      <c r="D27" t="s">
        <v>150</v>
      </c>
      <c r="E27" t="s">
        <v>34</v>
      </c>
      <c r="F27" t="str">
        <f t="shared" si="1"/>
        <v>Data Analyst</v>
      </c>
      <c r="G27" t="str">
        <f t="shared" si="2"/>
        <v>Data Analyst</v>
      </c>
      <c r="H27" t="s">
        <v>47</v>
      </c>
      <c r="I27" t="s">
        <v>57</v>
      </c>
      <c r="J27" t="s">
        <v>107</v>
      </c>
      <c r="K27" t="str">
        <f t="shared" si="3"/>
        <v>Tech</v>
      </c>
      <c r="L27" t="str">
        <f t="shared" si="4"/>
        <v>Tech</v>
      </c>
      <c r="M27" t="s">
        <v>38</v>
      </c>
      <c r="N27" t="str">
        <f t="shared" si="5"/>
        <v>Python</v>
      </c>
      <c r="O27" t="str">
        <f t="shared" si="6"/>
        <v>Python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tr">
        <f t="shared" si="7"/>
        <v>Good Work/Life Balance</v>
      </c>
      <c r="Y27" t="str">
        <f t="shared" si="8"/>
        <v>Good Work/Life Balance</v>
      </c>
      <c r="Z27" t="s">
        <v>41</v>
      </c>
      <c r="AA27">
        <v>31</v>
      </c>
      <c r="AB27" t="s">
        <v>151</v>
      </c>
      <c r="AC27" t="str">
        <f t="shared" si="9"/>
        <v>India</v>
      </c>
      <c r="AD27" t="str">
        <f t="shared" si="10"/>
        <v>India</v>
      </c>
      <c r="AE27" t="s">
        <v>32</v>
      </c>
      <c r="AF27" t="s">
        <v>52</v>
      </c>
      <c r="AG27" t="str">
        <f t="shared" si="0"/>
        <v>Asian or Asian American</v>
      </c>
      <c r="AH27" t="str">
        <f t="shared" si="11"/>
        <v>Asian or Asian American</v>
      </c>
    </row>
    <row r="28" spans="1:34" x14ac:dyDescent="0.25">
      <c r="A28" t="s">
        <v>152</v>
      </c>
      <c r="B28" t="s">
        <v>30</v>
      </c>
      <c r="C28" t="s">
        <v>153</v>
      </c>
      <c r="D28" t="s">
        <v>154</v>
      </c>
      <c r="E28" t="s">
        <v>34</v>
      </c>
      <c r="F28" t="str">
        <f t="shared" si="1"/>
        <v>Data Analyst</v>
      </c>
      <c r="G28" t="str">
        <f t="shared" si="2"/>
        <v>Data Analyst</v>
      </c>
      <c r="H28" t="s">
        <v>47</v>
      </c>
      <c r="I28" t="s">
        <v>98</v>
      </c>
      <c r="J28" t="s">
        <v>155</v>
      </c>
      <c r="K28" t="str">
        <f t="shared" si="3"/>
        <v>Insurance</v>
      </c>
      <c r="L28" t="str">
        <f t="shared" si="4"/>
        <v>Others</v>
      </c>
      <c r="M28" t="s">
        <v>88</v>
      </c>
      <c r="N28" t="str">
        <f t="shared" si="5"/>
        <v>SQL</v>
      </c>
      <c r="O28" t="str">
        <f t="shared" si="6"/>
        <v>SQL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tr">
        <f t="shared" si="7"/>
        <v>Responsibilities</v>
      </c>
      <c r="Y28" t="str">
        <f t="shared" si="8"/>
        <v>Others</v>
      </c>
      <c r="Z28" t="s">
        <v>41</v>
      </c>
      <c r="AA28">
        <v>23</v>
      </c>
      <c r="AB28" t="s">
        <v>42</v>
      </c>
      <c r="AC28" t="str">
        <f t="shared" si="9"/>
        <v>United States</v>
      </c>
      <c r="AD28" t="str">
        <f t="shared" si="10"/>
        <v>United States</v>
      </c>
      <c r="AE28" t="s">
        <v>32</v>
      </c>
      <c r="AF28" t="s">
        <v>43</v>
      </c>
      <c r="AG28" t="str">
        <f t="shared" si="0"/>
        <v>White or Caucasian</v>
      </c>
      <c r="AH28" t="str">
        <f t="shared" si="11"/>
        <v>White or Caucasian</v>
      </c>
    </row>
    <row r="29" spans="1:34" x14ac:dyDescent="0.25">
      <c r="A29" t="s">
        <v>157</v>
      </c>
      <c r="B29" t="s">
        <v>30</v>
      </c>
      <c r="C29" t="s">
        <v>153</v>
      </c>
      <c r="D29" t="s">
        <v>158</v>
      </c>
      <c r="E29" t="s">
        <v>34</v>
      </c>
      <c r="F29" t="str">
        <f t="shared" si="1"/>
        <v>Data Analyst</v>
      </c>
      <c r="G29" t="str">
        <f t="shared" si="2"/>
        <v>Data Analyst</v>
      </c>
      <c r="H29" t="s">
        <v>35</v>
      </c>
      <c r="I29" t="s">
        <v>36</v>
      </c>
      <c r="J29" t="s">
        <v>159</v>
      </c>
      <c r="K29" t="str">
        <f t="shared" si="3"/>
        <v>Energy</v>
      </c>
      <c r="L29" t="str">
        <f t="shared" si="4"/>
        <v>Others</v>
      </c>
      <c r="M29" t="s">
        <v>38</v>
      </c>
      <c r="N29" t="str">
        <f t="shared" si="5"/>
        <v>Python</v>
      </c>
      <c r="O29" t="str">
        <f t="shared" si="6"/>
        <v>Python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tr">
        <f t="shared" si="7"/>
        <v>Remote Work</v>
      </c>
      <c r="Y29" t="str">
        <f t="shared" si="8"/>
        <v>Remote Work</v>
      </c>
      <c r="Z29" t="s">
        <v>69</v>
      </c>
      <c r="AA29">
        <v>33</v>
      </c>
      <c r="AB29" t="s">
        <v>42</v>
      </c>
      <c r="AC29" t="str">
        <f t="shared" si="9"/>
        <v>United States</v>
      </c>
      <c r="AD29" t="str">
        <f t="shared" si="10"/>
        <v>United States</v>
      </c>
      <c r="AE29" t="s">
        <v>32</v>
      </c>
      <c r="AF29" t="s">
        <v>52</v>
      </c>
      <c r="AG29" t="str">
        <f t="shared" si="0"/>
        <v>Asian or Asian American</v>
      </c>
      <c r="AH29" t="str">
        <f t="shared" si="11"/>
        <v>Asian or Asian American</v>
      </c>
    </row>
    <row r="30" spans="1:34" x14ac:dyDescent="0.25">
      <c r="A30" t="s">
        <v>160</v>
      </c>
      <c r="B30" t="s">
        <v>30</v>
      </c>
      <c r="C30" t="s">
        <v>153</v>
      </c>
      <c r="D30" t="s">
        <v>161</v>
      </c>
      <c r="E30" t="s">
        <v>34</v>
      </c>
      <c r="F30" t="str">
        <f t="shared" si="1"/>
        <v>Data Analyst</v>
      </c>
      <c r="G30" t="str">
        <f t="shared" si="2"/>
        <v>Data Analyst</v>
      </c>
      <c r="H30" t="s">
        <v>47</v>
      </c>
      <c r="I30" t="s">
        <v>91</v>
      </c>
      <c r="J30" t="s">
        <v>37</v>
      </c>
      <c r="K30" t="str">
        <f t="shared" si="3"/>
        <v>Healthcare</v>
      </c>
      <c r="L30" t="str">
        <f t="shared" si="4"/>
        <v>Healthcare</v>
      </c>
      <c r="M30" t="s">
        <v>162</v>
      </c>
      <c r="N30" t="str">
        <f t="shared" si="5"/>
        <v>Qlik sense script</v>
      </c>
      <c r="O30" t="str">
        <f t="shared" si="6"/>
        <v>Others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tr">
        <f t="shared" si="7"/>
        <v>Better Salary</v>
      </c>
      <c r="Y30" t="str">
        <f t="shared" si="8"/>
        <v>Better Salary</v>
      </c>
      <c r="Z30" t="s">
        <v>41</v>
      </c>
      <c r="AA30">
        <v>43</v>
      </c>
      <c r="AB30" t="s">
        <v>42</v>
      </c>
      <c r="AC30" t="str">
        <f t="shared" si="9"/>
        <v>United States</v>
      </c>
      <c r="AD30" t="str">
        <f t="shared" si="10"/>
        <v>United States</v>
      </c>
      <c r="AE30" t="s">
        <v>32</v>
      </c>
      <c r="AF30" t="s">
        <v>43</v>
      </c>
      <c r="AG30" t="str">
        <f t="shared" si="0"/>
        <v>White or Caucasian</v>
      </c>
      <c r="AH30" t="str">
        <f t="shared" si="11"/>
        <v>White or Caucasian</v>
      </c>
    </row>
    <row r="31" spans="1:34" x14ac:dyDescent="0.25">
      <c r="A31" t="s">
        <v>163</v>
      </c>
      <c r="B31" t="s">
        <v>30</v>
      </c>
      <c r="C31" t="s">
        <v>153</v>
      </c>
      <c r="D31" t="s">
        <v>161</v>
      </c>
      <c r="E31" t="s">
        <v>127</v>
      </c>
      <c r="F31" t="str">
        <f t="shared" si="1"/>
        <v>Student/Looking/None</v>
      </c>
      <c r="G31" t="str">
        <f t="shared" si="2"/>
        <v>Student/Looking/None</v>
      </c>
      <c r="H31" t="s">
        <v>35</v>
      </c>
      <c r="I31" t="s">
        <v>57</v>
      </c>
      <c r="J31" t="s">
        <v>164</v>
      </c>
      <c r="K31" t="str">
        <f t="shared" si="3"/>
        <v>Oil and gas</v>
      </c>
      <c r="L31" t="str">
        <f t="shared" si="4"/>
        <v>Others</v>
      </c>
      <c r="M31" t="s">
        <v>50</v>
      </c>
      <c r="N31" t="str">
        <f t="shared" si="5"/>
        <v>R</v>
      </c>
      <c r="O31" t="str">
        <f t="shared" si="6"/>
        <v>R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tr">
        <f t="shared" si="7"/>
        <v>Remote Work</v>
      </c>
      <c r="Y31" t="str">
        <f t="shared" si="8"/>
        <v>Remote Work</v>
      </c>
      <c r="Z31" t="s">
        <v>69</v>
      </c>
      <c r="AA31">
        <v>23</v>
      </c>
      <c r="AB31" t="s">
        <v>61</v>
      </c>
      <c r="AC31" t="str">
        <f t="shared" si="9"/>
        <v>Nigeria</v>
      </c>
      <c r="AD31" t="str">
        <f t="shared" si="10"/>
        <v>Nigeria</v>
      </c>
      <c r="AE31" t="s">
        <v>32</v>
      </c>
      <c r="AF31" t="s">
        <v>165</v>
      </c>
      <c r="AG31" t="str">
        <f t="shared" si="0"/>
        <v>African</v>
      </c>
      <c r="AH31" t="str">
        <f t="shared" si="11"/>
        <v>African</v>
      </c>
    </row>
    <row r="32" spans="1:34" x14ac:dyDescent="0.25">
      <c r="A32" t="s">
        <v>166</v>
      </c>
      <c r="B32" t="s">
        <v>30</v>
      </c>
      <c r="C32" t="s">
        <v>153</v>
      </c>
      <c r="D32" t="s">
        <v>145</v>
      </c>
      <c r="E32" t="s">
        <v>127</v>
      </c>
      <c r="F32" t="str">
        <f t="shared" si="1"/>
        <v>Student/Looking/None</v>
      </c>
      <c r="G32" t="str">
        <f t="shared" si="2"/>
        <v>Student/Looking/None</v>
      </c>
      <c r="H32" t="s">
        <v>35</v>
      </c>
      <c r="I32" t="s">
        <v>48</v>
      </c>
      <c r="J32" t="s">
        <v>49</v>
      </c>
      <c r="K32" t="str">
        <f t="shared" si="3"/>
        <v>Finance</v>
      </c>
      <c r="L32" t="str">
        <f t="shared" si="4"/>
        <v>Finance</v>
      </c>
      <c r="M32" t="s">
        <v>38</v>
      </c>
      <c r="N32" t="str">
        <f t="shared" si="5"/>
        <v>Python</v>
      </c>
      <c r="O32" t="str">
        <f t="shared" si="6"/>
        <v>Python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tr">
        <f t="shared" si="7"/>
        <v>Good Work/Life Balance</v>
      </c>
      <c r="Y32" t="str">
        <f t="shared" si="8"/>
        <v>Good Work/Life Balance</v>
      </c>
      <c r="Z32" t="s">
        <v>41</v>
      </c>
      <c r="AA32">
        <v>31</v>
      </c>
      <c r="AB32" t="s">
        <v>42</v>
      </c>
      <c r="AC32" t="str">
        <f t="shared" si="9"/>
        <v>United States</v>
      </c>
      <c r="AD32" t="str">
        <f t="shared" si="10"/>
        <v>United States</v>
      </c>
      <c r="AE32" t="s">
        <v>32</v>
      </c>
      <c r="AF32" t="s">
        <v>62</v>
      </c>
      <c r="AG32" t="str">
        <f t="shared" si="0"/>
        <v>Black or African American</v>
      </c>
      <c r="AH32" t="str">
        <f t="shared" si="11"/>
        <v>Black or African American</v>
      </c>
    </row>
    <row r="33" spans="1:34" x14ac:dyDescent="0.25">
      <c r="A33" t="s">
        <v>167</v>
      </c>
      <c r="B33" t="s">
        <v>30</v>
      </c>
      <c r="C33" t="s">
        <v>168</v>
      </c>
      <c r="D33" t="s">
        <v>169</v>
      </c>
      <c r="E33" t="s">
        <v>34</v>
      </c>
      <c r="F33" t="str">
        <f t="shared" si="1"/>
        <v>Data Analyst</v>
      </c>
      <c r="G33" t="str">
        <f t="shared" si="2"/>
        <v>Data Analyst</v>
      </c>
      <c r="H33" t="s">
        <v>35</v>
      </c>
      <c r="I33" t="s">
        <v>98</v>
      </c>
      <c r="J33" t="s">
        <v>49</v>
      </c>
      <c r="K33" t="str">
        <f t="shared" si="3"/>
        <v>Finance</v>
      </c>
      <c r="L33" t="str">
        <f t="shared" si="4"/>
        <v>Finance</v>
      </c>
      <c r="M33" t="s">
        <v>38</v>
      </c>
      <c r="N33" t="str">
        <f t="shared" si="5"/>
        <v>Python</v>
      </c>
      <c r="O33" t="str">
        <f t="shared" si="6"/>
        <v>Python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tr">
        <f t="shared" si="7"/>
        <v>Development</v>
      </c>
      <c r="Y33" t="str">
        <f t="shared" si="8"/>
        <v>Others</v>
      </c>
      <c r="Z33" t="s">
        <v>41</v>
      </c>
      <c r="AA33">
        <v>31</v>
      </c>
      <c r="AB33" t="s">
        <v>113</v>
      </c>
      <c r="AC33" t="str">
        <f t="shared" si="9"/>
        <v>United Kingdom</v>
      </c>
      <c r="AD33" t="str">
        <f t="shared" si="10"/>
        <v>United Kingdom</v>
      </c>
      <c r="AE33" t="s">
        <v>32</v>
      </c>
      <c r="AF33" t="s">
        <v>43</v>
      </c>
      <c r="AG33" t="str">
        <f t="shared" si="0"/>
        <v>White or Caucasian</v>
      </c>
      <c r="AH33" t="str">
        <f t="shared" si="11"/>
        <v>White or Caucasian</v>
      </c>
    </row>
    <row r="34" spans="1:34" x14ac:dyDescent="0.25">
      <c r="A34" t="s">
        <v>171</v>
      </c>
      <c r="B34" t="s">
        <v>30</v>
      </c>
      <c r="C34" t="s">
        <v>168</v>
      </c>
      <c r="D34" t="s">
        <v>172</v>
      </c>
      <c r="E34" t="s">
        <v>34</v>
      </c>
      <c r="F34" t="str">
        <f t="shared" si="1"/>
        <v>Data Analyst</v>
      </c>
      <c r="G34" t="str">
        <f t="shared" si="2"/>
        <v>Data Analyst</v>
      </c>
      <c r="H34" t="s">
        <v>35</v>
      </c>
      <c r="I34" t="s">
        <v>57</v>
      </c>
      <c r="J34" t="s">
        <v>82</v>
      </c>
      <c r="K34" t="str">
        <f t="shared" si="3"/>
        <v>Other</v>
      </c>
      <c r="L34" t="str">
        <f t="shared" si="4"/>
        <v>Others</v>
      </c>
      <c r="M34" t="s">
        <v>38</v>
      </c>
      <c r="N34" t="str">
        <f t="shared" si="5"/>
        <v>Python</v>
      </c>
      <c r="O34" t="str">
        <f t="shared" si="6"/>
        <v>Python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tr">
        <f t="shared" si="7"/>
        <v>Good Work/Life Balance</v>
      </c>
      <c r="Y34" t="str">
        <f t="shared" si="8"/>
        <v>Good Work/Life Balance</v>
      </c>
      <c r="Z34" t="s">
        <v>41</v>
      </c>
      <c r="AA34">
        <v>25</v>
      </c>
      <c r="AB34" t="s">
        <v>151</v>
      </c>
      <c r="AC34" t="str">
        <f t="shared" si="9"/>
        <v>India</v>
      </c>
      <c r="AD34" t="str">
        <f t="shared" si="10"/>
        <v>India</v>
      </c>
      <c r="AE34" t="s">
        <v>32</v>
      </c>
      <c r="AF34" t="s">
        <v>52</v>
      </c>
      <c r="AG34" t="str">
        <f t="shared" si="0"/>
        <v>Asian or Asian American</v>
      </c>
      <c r="AH34" t="str">
        <f t="shared" si="11"/>
        <v>Asian or Asian American</v>
      </c>
    </row>
    <row r="35" spans="1:34" x14ac:dyDescent="0.25">
      <c r="A35" t="s">
        <v>173</v>
      </c>
      <c r="B35" t="s">
        <v>30</v>
      </c>
      <c r="C35" t="s">
        <v>174</v>
      </c>
      <c r="D35" t="s">
        <v>175</v>
      </c>
      <c r="E35" t="s">
        <v>56</v>
      </c>
      <c r="F35" t="str">
        <f t="shared" si="1"/>
        <v>Data Engineer</v>
      </c>
      <c r="G35" t="str">
        <f t="shared" si="2"/>
        <v>Data Engineer</v>
      </c>
      <c r="H35" t="s">
        <v>47</v>
      </c>
      <c r="I35" t="s">
        <v>86</v>
      </c>
      <c r="J35" t="s">
        <v>107</v>
      </c>
      <c r="K35" t="str">
        <f t="shared" si="3"/>
        <v>Tech</v>
      </c>
      <c r="L35" t="str">
        <f t="shared" si="4"/>
        <v>Tech</v>
      </c>
      <c r="M35" t="s">
        <v>88</v>
      </c>
      <c r="N35" t="str">
        <f t="shared" si="5"/>
        <v>SQL</v>
      </c>
      <c r="O35" t="str">
        <f t="shared" si="6"/>
        <v>SQL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tr">
        <f t="shared" si="7"/>
        <v>Better Salary</v>
      </c>
      <c r="Y35" t="str">
        <f t="shared" si="8"/>
        <v>Better Salary</v>
      </c>
      <c r="Z35" t="s">
        <v>41</v>
      </c>
      <c r="AA35">
        <v>43</v>
      </c>
      <c r="AB35" t="s">
        <v>42</v>
      </c>
      <c r="AC35" t="str">
        <f t="shared" si="9"/>
        <v>United States</v>
      </c>
      <c r="AD35" t="str">
        <f t="shared" si="10"/>
        <v>United States</v>
      </c>
      <c r="AE35" t="s">
        <v>32</v>
      </c>
      <c r="AF35" t="s">
        <v>43</v>
      </c>
      <c r="AG35" t="str">
        <f t="shared" si="0"/>
        <v>White or Caucasian</v>
      </c>
      <c r="AH35" t="str">
        <f t="shared" si="11"/>
        <v>White or Caucasian</v>
      </c>
    </row>
    <row r="36" spans="1:34" x14ac:dyDescent="0.25">
      <c r="A36" t="s">
        <v>176</v>
      </c>
      <c r="B36" t="s">
        <v>30</v>
      </c>
      <c r="C36" t="s">
        <v>174</v>
      </c>
      <c r="D36" t="s">
        <v>177</v>
      </c>
      <c r="E36" t="s">
        <v>34</v>
      </c>
      <c r="F36" t="str">
        <f t="shared" si="1"/>
        <v>Data Analyst</v>
      </c>
      <c r="G36" t="str">
        <f t="shared" si="2"/>
        <v>Data Analyst</v>
      </c>
      <c r="H36" t="s">
        <v>47</v>
      </c>
      <c r="I36" t="s">
        <v>48</v>
      </c>
      <c r="J36" t="s">
        <v>49</v>
      </c>
      <c r="K36" t="str">
        <f t="shared" si="3"/>
        <v>Finance</v>
      </c>
      <c r="L36" t="str">
        <f t="shared" si="4"/>
        <v>Finance</v>
      </c>
      <c r="M36" t="s">
        <v>38</v>
      </c>
      <c r="N36" t="str">
        <f t="shared" si="5"/>
        <v>Python</v>
      </c>
      <c r="O36" t="str">
        <f t="shared" si="6"/>
        <v>Python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tr">
        <f t="shared" si="7"/>
        <v>Better Salary</v>
      </c>
      <c r="Y36" t="str">
        <f t="shared" si="8"/>
        <v>Better Salary</v>
      </c>
      <c r="Z36" t="s">
        <v>69</v>
      </c>
      <c r="AA36">
        <v>26</v>
      </c>
      <c r="AB36" t="s">
        <v>51</v>
      </c>
      <c r="AC36" t="str">
        <f t="shared" si="9"/>
        <v>Canada</v>
      </c>
      <c r="AD36" t="str">
        <f t="shared" si="10"/>
        <v>Canada</v>
      </c>
      <c r="AE36" t="s">
        <v>32</v>
      </c>
      <c r="AF36" t="s">
        <v>178</v>
      </c>
      <c r="AG36" t="str">
        <f t="shared" si="0"/>
        <v>South Asian</v>
      </c>
      <c r="AH36" t="str">
        <f t="shared" si="11"/>
        <v>Others</v>
      </c>
    </row>
    <row r="37" spans="1:34" x14ac:dyDescent="0.25">
      <c r="A37" t="s">
        <v>179</v>
      </c>
      <c r="B37" t="s">
        <v>30</v>
      </c>
      <c r="C37" t="s">
        <v>174</v>
      </c>
      <c r="D37" t="s">
        <v>180</v>
      </c>
      <c r="E37" t="s">
        <v>181</v>
      </c>
      <c r="F37" t="str">
        <f t="shared" si="1"/>
        <v>FP&amp;A Analyst</v>
      </c>
      <c r="G37" t="str">
        <f t="shared" si="2"/>
        <v>Others</v>
      </c>
      <c r="H37" t="s">
        <v>47</v>
      </c>
      <c r="I37" t="s">
        <v>48</v>
      </c>
      <c r="J37" t="s">
        <v>182</v>
      </c>
      <c r="K37" t="str">
        <f t="shared" si="3"/>
        <v>Automotive</v>
      </c>
      <c r="L37" t="str">
        <f t="shared" si="4"/>
        <v>Others</v>
      </c>
      <c r="M37" t="s">
        <v>38</v>
      </c>
      <c r="N37" t="str">
        <f t="shared" si="5"/>
        <v>Python</v>
      </c>
      <c r="O37" t="str">
        <f t="shared" si="6"/>
        <v>Python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tr">
        <f t="shared" si="7"/>
        <v>Remote Work</v>
      </c>
      <c r="Y37" t="str">
        <f t="shared" si="8"/>
        <v>Remote Work</v>
      </c>
      <c r="Z37" t="s">
        <v>41</v>
      </c>
      <c r="AA37">
        <v>32</v>
      </c>
      <c r="AB37" t="s">
        <v>183</v>
      </c>
      <c r="AC37" t="str">
        <f t="shared" si="9"/>
        <v>Japan</v>
      </c>
      <c r="AD37" t="str">
        <f t="shared" si="10"/>
        <v>Others</v>
      </c>
      <c r="AE37" t="s">
        <v>32</v>
      </c>
      <c r="AF37" t="s">
        <v>43</v>
      </c>
      <c r="AG37" t="str">
        <f t="shared" si="0"/>
        <v>White or Caucasian</v>
      </c>
      <c r="AH37" t="str">
        <f t="shared" si="11"/>
        <v>White or Caucasian</v>
      </c>
    </row>
    <row r="38" spans="1:34" x14ac:dyDescent="0.25">
      <c r="A38" t="s">
        <v>184</v>
      </c>
      <c r="B38" t="s">
        <v>30</v>
      </c>
      <c r="C38" t="s">
        <v>174</v>
      </c>
      <c r="D38" t="s">
        <v>185</v>
      </c>
      <c r="E38" t="s">
        <v>186</v>
      </c>
      <c r="F38" t="str">
        <f t="shared" si="1"/>
        <v>BI Developer</v>
      </c>
      <c r="G38" t="str">
        <f t="shared" si="2"/>
        <v>Others</v>
      </c>
      <c r="H38" t="s">
        <v>47</v>
      </c>
      <c r="I38" t="s">
        <v>57</v>
      </c>
      <c r="J38" t="s">
        <v>107</v>
      </c>
      <c r="K38" t="str">
        <f t="shared" si="3"/>
        <v>Tech</v>
      </c>
      <c r="L38" t="str">
        <f t="shared" si="4"/>
        <v>Tech</v>
      </c>
      <c r="M38" t="s">
        <v>38</v>
      </c>
      <c r="N38" t="str">
        <f t="shared" si="5"/>
        <v>Python</v>
      </c>
      <c r="O38" t="str">
        <f t="shared" si="6"/>
        <v>Python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tr">
        <f t="shared" si="7"/>
        <v>Better Salary</v>
      </c>
      <c r="Y38" t="str">
        <f t="shared" si="8"/>
        <v>Better Salary</v>
      </c>
      <c r="Z38" t="s">
        <v>41</v>
      </c>
      <c r="AA38">
        <v>31</v>
      </c>
      <c r="AB38" t="s">
        <v>187</v>
      </c>
      <c r="AC38" t="str">
        <f t="shared" si="9"/>
        <v>Greece</v>
      </c>
      <c r="AD38" t="str">
        <f t="shared" si="10"/>
        <v>Others</v>
      </c>
      <c r="AE38" t="s">
        <v>32</v>
      </c>
      <c r="AF38" t="s">
        <v>43</v>
      </c>
      <c r="AG38" t="str">
        <f t="shared" si="0"/>
        <v>White or Caucasian</v>
      </c>
      <c r="AH38" t="str">
        <f t="shared" si="11"/>
        <v>White or Caucasian</v>
      </c>
    </row>
    <row r="39" spans="1:34" x14ac:dyDescent="0.25">
      <c r="A39" t="s">
        <v>188</v>
      </c>
      <c r="B39" t="s">
        <v>30</v>
      </c>
      <c r="C39" t="s">
        <v>189</v>
      </c>
      <c r="D39" t="s">
        <v>190</v>
      </c>
      <c r="E39" t="s">
        <v>34</v>
      </c>
      <c r="F39" t="str">
        <f t="shared" si="1"/>
        <v>Data Analyst</v>
      </c>
      <c r="G39" t="str">
        <f t="shared" si="2"/>
        <v>Data Analyst</v>
      </c>
      <c r="H39" t="s">
        <v>35</v>
      </c>
      <c r="I39" t="s">
        <v>91</v>
      </c>
      <c r="J39" t="s">
        <v>37</v>
      </c>
      <c r="K39" t="str">
        <f t="shared" si="3"/>
        <v>Healthcare</v>
      </c>
      <c r="L39" t="str">
        <f t="shared" si="4"/>
        <v>Healthcare</v>
      </c>
      <c r="M39" t="s">
        <v>191</v>
      </c>
      <c r="N39" t="str">
        <f t="shared" si="5"/>
        <v>sql</v>
      </c>
      <c r="O39" t="str">
        <f t="shared" si="6"/>
        <v>sql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tr">
        <f t="shared" si="7"/>
        <v>Better Salary</v>
      </c>
      <c r="Y39" t="str">
        <f t="shared" si="8"/>
        <v>Better Salary</v>
      </c>
      <c r="Z39" t="s">
        <v>41</v>
      </c>
      <c r="AA39">
        <v>29</v>
      </c>
      <c r="AB39" t="s">
        <v>42</v>
      </c>
      <c r="AC39" t="str">
        <f t="shared" si="9"/>
        <v>United States</v>
      </c>
      <c r="AD39" t="str">
        <f t="shared" si="10"/>
        <v>United States</v>
      </c>
      <c r="AE39" t="s">
        <v>32</v>
      </c>
      <c r="AF39" t="s">
        <v>43</v>
      </c>
      <c r="AG39" t="str">
        <f t="shared" si="0"/>
        <v>White or Caucasian</v>
      </c>
      <c r="AH39" t="str">
        <f t="shared" si="11"/>
        <v>White or Caucasian</v>
      </c>
    </row>
    <row r="40" spans="1:34" x14ac:dyDescent="0.25">
      <c r="A40" t="s">
        <v>192</v>
      </c>
      <c r="B40" t="s">
        <v>30</v>
      </c>
      <c r="C40" t="s">
        <v>189</v>
      </c>
      <c r="D40" t="s">
        <v>193</v>
      </c>
      <c r="E40" t="s">
        <v>34</v>
      </c>
      <c r="F40" t="str">
        <f t="shared" si="1"/>
        <v>Data Analyst</v>
      </c>
      <c r="G40" t="str">
        <f t="shared" si="2"/>
        <v>Data Analyst</v>
      </c>
      <c r="H40" t="s">
        <v>35</v>
      </c>
      <c r="I40" t="s">
        <v>57</v>
      </c>
      <c r="J40" t="s">
        <v>194</v>
      </c>
      <c r="K40" t="str">
        <f t="shared" si="3"/>
        <v>Automotive</v>
      </c>
      <c r="L40" t="str">
        <f t="shared" si="4"/>
        <v>Others</v>
      </c>
      <c r="M40" t="s">
        <v>38</v>
      </c>
      <c r="N40" t="str">
        <f t="shared" si="5"/>
        <v>Python</v>
      </c>
      <c r="O40" t="str">
        <f t="shared" si="6"/>
        <v>Python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tr">
        <f t="shared" si="7"/>
        <v>Good Culture</v>
      </c>
      <c r="Y40" t="str">
        <f t="shared" si="8"/>
        <v>Good Culture</v>
      </c>
      <c r="Z40" t="s">
        <v>41</v>
      </c>
      <c r="AA40">
        <v>24</v>
      </c>
      <c r="AB40" t="s">
        <v>195</v>
      </c>
      <c r="AC40" t="str">
        <f t="shared" si="9"/>
        <v>Perú</v>
      </c>
      <c r="AD40" t="str">
        <f t="shared" si="10"/>
        <v>Others</v>
      </c>
      <c r="AE40" t="s">
        <v>32</v>
      </c>
      <c r="AF40" t="s">
        <v>95</v>
      </c>
      <c r="AG40" t="str">
        <f t="shared" si="0"/>
        <v>Hispanic or Latino</v>
      </c>
      <c r="AH40" t="str">
        <f t="shared" si="11"/>
        <v>Hispanic or Latino</v>
      </c>
    </row>
    <row r="41" spans="1:34" x14ac:dyDescent="0.25">
      <c r="A41" t="s">
        <v>196</v>
      </c>
      <c r="B41" t="s">
        <v>30</v>
      </c>
      <c r="C41" t="s">
        <v>189</v>
      </c>
      <c r="D41" t="s">
        <v>197</v>
      </c>
      <c r="E41" t="s">
        <v>127</v>
      </c>
      <c r="F41" t="str">
        <f t="shared" si="1"/>
        <v>Student/Looking/None</v>
      </c>
      <c r="G41" t="str">
        <f t="shared" si="2"/>
        <v>Student/Looking/None</v>
      </c>
      <c r="H41" t="s">
        <v>35</v>
      </c>
      <c r="I41" t="s">
        <v>48</v>
      </c>
      <c r="J41" t="s">
        <v>117</v>
      </c>
      <c r="K41" t="str">
        <f t="shared" si="3"/>
        <v>Construction</v>
      </c>
      <c r="L41" t="str">
        <f t="shared" si="4"/>
        <v>Construction</v>
      </c>
      <c r="M41" t="s">
        <v>38</v>
      </c>
      <c r="N41" t="str">
        <f t="shared" si="5"/>
        <v>Python</v>
      </c>
      <c r="O41" t="str">
        <f t="shared" si="6"/>
        <v>Python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tr">
        <f t="shared" si="7"/>
        <v>Remote Work</v>
      </c>
      <c r="Y41" t="str">
        <f t="shared" si="8"/>
        <v>Remote Work</v>
      </c>
      <c r="Z41" t="s">
        <v>41</v>
      </c>
      <c r="AA41">
        <v>34</v>
      </c>
      <c r="AB41" t="s">
        <v>42</v>
      </c>
      <c r="AC41" t="str">
        <f t="shared" si="9"/>
        <v>United States</v>
      </c>
      <c r="AD41" t="str">
        <f t="shared" si="10"/>
        <v>United States</v>
      </c>
      <c r="AE41" t="s">
        <v>32</v>
      </c>
      <c r="AF41" t="s">
        <v>43</v>
      </c>
      <c r="AG41" t="str">
        <f t="shared" si="0"/>
        <v>White or Caucasian</v>
      </c>
      <c r="AH41" t="str">
        <f t="shared" si="11"/>
        <v>White or Caucasian</v>
      </c>
    </row>
    <row r="42" spans="1:34" x14ac:dyDescent="0.25">
      <c r="A42" t="s">
        <v>198</v>
      </c>
      <c r="B42" t="s">
        <v>30</v>
      </c>
      <c r="C42" t="s">
        <v>199</v>
      </c>
      <c r="D42" t="s">
        <v>200</v>
      </c>
      <c r="E42" t="s">
        <v>34</v>
      </c>
      <c r="F42" t="str">
        <f t="shared" si="1"/>
        <v>Data Analyst</v>
      </c>
      <c r="G42" t="str">
        <f t="shared" si="2"/>
        <v>Data Analyst</v>
      </c>
      <c r="H42" t="s">
        <v>35</v>
      </c>
      <c r="I42" t="s">
        <v>48</v>
      </c>
      <c r="J42" t="s">
        <v>201</v>
      </c>
      <c r="K42" t="str">
        <f t="shared" si="3"/>
        <v>Utili</v>
      </c>
      <c r="L42" t="str">
        <f t="shared" si="4"/>
        <v>Others</v>
      </c>
      <c r="M42" t="s">
        <v>202</v>
      </c>
      <c r="N42" t="str">
        <f t="shared" si="5"/>
        <v>Power bi</v>
      </c>
      <c r="O42" t="str">
        <f t="shared" si="6"/>
        <v>Others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tr">
        <f t="shared" si="7"/>
        <v>Better Salary</v>
      </c>
      <c r="Y42" t="str">
        <f t="shared" si="8"/>
        <v>Better Salary</v>
      </c>
      <c r="Z42" t="s">
        <v>41</v>
      </c>
      <c r="AA42">
        <v>42</v>
      </c>
      <c r="AB42" t="s">
        <v>203</v>
      </c>
      <c r="AC42" t="str">
        <f t="shared" si="9"/>
        <v>Australia</v>
      </c>
      <c r="AD42" t="str">
        <f t="shared" si="10"/>
        <v>Australia</v>
      </c>
      <c r="AE42" t="s">
        <v>32</v>
      </c>
      <c r="AF42" t="s">
        <v>204</v>
      </c>
      <c r="AG42" t="str">
        <f t="shared" si="0"/>
        <v>Indian</v>
      </c>
      <c r="AH42" t="str">
        <f t="shared" si="11"/>
        <v>Indian</v>
      </c>
    </row>
    <row r="43" spans="1:34" x14ac:dyDescent="0.25">
      <c r="A43" t="s">
        <v>205</v>
      </c>
      <c r="B43" t="s">
        <v>30</v>
      </c>
      <c r="C43" t="s">
        <v>199</v>
      </c>
      <c r="D43" t="s">
        <v>206</v>
      </c>
      <c r="E43" t="s">
        <v>127</v>
      </c>
      <c r="F43" t="str">
        <f t="shared" si="1"/>
        <v>Student/Looking/None</v>
      </c>
      <c r="G43" t="str">
        <f t="shared" si="2"/>
        <v>Student/Looking/None</v>
      </c>
      <c r="H43" t="s">
        <v>35</v>
      </c>
      <c r="I43" t="s">
        <v>57</v>
      </c>
      <c r="J43" t="s">
        <v>207</v>
      </c>
      <c r="K43" t="str">
        <f t="shared" si="3"/>
        <v>Not working yet</v>
      </c>
      <c r="L43" t="str">
        <f t="shared" si="4"/>
        <v>Others</v>
      </c>
      <c r="M43" t="s">
        <v>208</v>
      </c>
      <c r="N43" t="str">
        <f t="shared" si="5"/>
        <v>JavaScript</v>
      </c>
      <c r="O43" t="str">
        <f t="shared" si="6"/>
        <v>JavaScript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tr">
        <f t="shared" si="7"/>
        <v>Remote Work</v>
      </c>
      <c r="Y43" t="str">
        <f t="shared" si="8"/>
        <v>Remote Work</v>
      </c>
      <c r="Z43" t="s">
        <v>69</v>
      </c>
      <c r="AA43">
        <v>40</v>
      </c>
      <c r="AB43" t="s">
        <v>42</v>
      </c>
      <c r="AC43" t="str">
        <f t="shared" si="9"/>
        <v>United States</v>
      </c>
      <c r="AD43" t="str">
        <f t="shared" si="10"/>
        <v>United States</v>
      </c>
      <c r="AE43" t="s">
        <v>32</v>
      </c>
      <c r="AF43" t="s">
        <v>52</v>
      </c>
      <c r="AG43" t="str">
        <f t="shared" si="0"/>
        <v>Asian or Asian American</v>
      </c>
      <c r="AH43" t="str">
        <f t="shared" si="11"/>
        <v>Asian or Asian American</v>
      </c>
    </row>
    <row r="44" spans="1:34" x14ac:dyDescent="0.25">
      <c r="A44" t="s">
        <v>209</v>
      </c>
      <c r="B44" t="s">
        <v>30</v>
      </c>
      <c r="C44" t="s">
        <v>199</v>
      </c>
      <c r="D44" t="s">
        <v>210</v>
      </c>
      <c r="E44" t="s">
        <v>127</v>
      </c>
      <c r="F44" t="str">
        <f t="shared" si="1"/>
        <v>Student/Looking/None</v>
      </c>
      <c r="G44" t="str">
        <f t="shared" si="2"/>
        <v>Student/Looking/None</v>
      </c>
      <c r="H44" t="s">
        <v>47</v>
      </c>
      <c r="I44" t="s">
        <v>48</v>
      </c>
      <c r="J44" t="s">
        <v>94</v>
      </c>
      <c r="K44" t="str">
        <f t="shared" si="3"/>
        <v>Telecommunication</v>
      </c>
      <c r="L44" t="str">
        <f t="shared" si="4"/>
        <v>Telecommunication</v>
      </c>
      <c r="M44" t="s">
        <v>38</v>
      </c>
      <c r="N44" t="str">
        <f t="shared" si="5"/>
        <v>Python</v>
      </c>
      <c r="O44" t="str">
        <f t="shared" si="6"/>
        <v>Python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tr">
        <f t="shared" si="7"/>
        <v>Good Work/Life Balance</v>
      </c>
      <c r="Y44" t="str">
        <f t="shared" si="8"/>
        <v>Good Work/Life Balance</v>
      </c>
      <c r="Z44" t="s">
        <v>41</v>
      </c>
      <c r="AA44">
        <v>43</v>
      </c>
      <c r="AB44" t="s">
        <v>211</v>
      </c>
      <c r="AC44" t="str">
        <f t="shared" si="9"/>
        <v>Spain</v>
      </c>
      <c r="AD44" t="str">
        <f t="shared" si="10"/>
        <v>Spain</v>
      </c>
      <c r="AE44" t="s">
        <v>32</v>
      </c>
      <c r="AF44" t="s">
        <v>43</v>
      </c>
      <c r="AG44" t="str">
        <f t="shared" si="0"/>
        <v>White or Caucasian</v>
      </c>
      <c r="AH44" t="str">
        <f t="shared" si="11"/>
        <v>White or Caucasian</v>
      </c>
    </row>
    <row r="45" spans="1:34" x14ac:dyDescent="0.25">
      <c r="A45" t="s">
        <v>212</v>
      </c>
      <c r="B45" t="s">
        <v>30</v>
      </c>
      <c r="C45" t="s">
        <v>213</v>
      </c>
      <c r="D45" t="s">
        <v>214</v>
      </c>
      <c r="E45" t="s">
        <v>127</v>
      </c>
      <c r="F45" t="str">
        <f t="shared" si="1"/>
        <v>Student/Looking/None</v>
      </c>
      <c r="G45" t="str">
        <f t="shared" si="2"/>
        <v>Student/Looking/None</v>
      </c>
      <c r="H45" t="s">
        <v>35</v>
      </c>
      <c r="I45" t="s">
        <v>57</v>
      </c>
      <c r="J45" t="s">
        <v>117</v>
      </c>
      <c r="K45" t="str">
        <f t="shared" si="3"/>
        <v>Construction</v>
      </c>
      <c r="L45" t="str">
        <f t="shared" si="4"/>
        <v>Construction</v>
      </c>
      <c r="M45" t="s">
        <v>38</v>
      </c>
      <c r="N45" t="str">
        <f t="shared" si="5"/>
        <v>Python</v>
      </c>
      <c r="O45" t="str">
        <f t="shared" si="6"/>
        <v>Python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tr">
        <f t="shared" si="7"/>
        <v>Better Salary</v>
      </c>
      <c r="Y45" t="str">
        <f t="shared" si="8"/>
        <v>Better Salary</v>
      </c>
      <c r="Z45" t="s">
        <v>41</v>
      </c>
      <c r="AA45">
        <v>23</v>
      </c>
      <c r="AB45" t="s">
        <v>215</v>
      </c>
      <c r="AC45" t="str">
        <f t="shared" si="9"/>
        <v>Kenya</v>
      </c>
      <c r="AD45" t="str">
        <f t="shared" si="10"/>
        <v>Kenya</v>
      </c>
      <c r="AE45" t="s">
        <v>32</v>
      </c>
      <c r="AF45" t="s">
        <v>216</v>
      </c>
      <c r="AG45" t="str">
        <f t="shared" si="0"/>
        <v>Kenyan African</v>
      </c>
      <c r="AH45" t="str">
        <f t="shared" si="11"/>
        <v>Others</v>
      </c>
    </row>
    <row r="46" spans="1:34" x14ac:dyDescent="0.25">
      <c r="A46" t="s">
        <v>217</v>
      </c>
      <c r="B46" t="s">
        <v>30</v>
      </c>
      <c r="C46" t="s">
        <v>218</v>
      </c>
      <c r="D46" t="s">
        <v>219</v>
      </c>
      <c r="E46" t="s">
        <v>127</v>
      </c>
      <c r="F46" t="str">
        <f t="shared" si="1"/>
        <v>Student/Looking/None</v>
      </c>
      <c r="G46" t="str">
        <f t="shared" si="2"/>
        <v>Student/Looking/None</v>
      </c>
      <c r="H46" t="s">
        <v>35</v>
      </c>
      <c r="I46" t="s">
        <v>57</v>
      </c>
      <c r="J46" t="s">
        <v>112</v>
      </c>
      <c r="K46" t="str">
        <f t="shared" si="3"/>
        <v>Education</v>
      </c>
      <c r="L46" t="str">
        <f t="shared" si="4"/>
        <v>Education</v>
      </c>
      <c r="M46" t="s">
        <v>38</v>
      </c>
      <c r="N46" t="str">
        <f t="shared" si="5"/>
        <v>Python</v>
      </c>
      <c r="O46" t="str">
        <f t="shared" si="6"/>
        <v>Python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tr">
        <f t="shared" si="7"/>
        <v>Better Salary</v>
      </c>
      <c r="Y46" t="str">
        <f t="shared" si="8"/>
        <v>Better Salary</v>
      </c>
      <c r="Z46" t="s">
        <v>41</v>
      </c>
      <c r="AA46">
        <v>23</v>
      </c>
      <c r="AB46" t="s">
        <v>183</v>
      </c>
      <c r="AC46" t="str">
        <f t="shared" si="9"/>
        <v>Japan</v>
      </c>
      <c r="AD46" t="str">
        <f t="shared" si="10"/>
        <v>Others</v>
      </c>
      <c r="AE46" t="s">
        <v>32</v>
      </c>
      <c r="AF46" t="s">
        <v>52</v>
      </c>
      <c r="AG46" t="str">
        <f t="shared" si="0"/>
        <v>Asian or Asian American</v>
      </c>
      <c r="AH46" t="str">
        <f t="shared" si="11"/>
        <v>Asian or Asian American</v>
      </c>
    </row>
    <row r="47" spans="1:34" x14ac:dyDescent="0.25">
      <c r="A47" t="s">
        <v>220</v>
      </c>
      <c r="B47" t="s">
        <v>30</v>
      </c>
      <c r="C47" t="s">
        <v>218</v>
      </c>
      <c r="D47" t="s">
        <v>221</v>
      </c>
      <c r="E47" t="s">
        <v>34</v>
      </c>
      <c r="F47" t="str">
        <f t="shared" si="1"/>
        <v>Data Analyst</v>
      </c>
      <c r="G47" t="str">
        <f t="shared" si="2"/>
        <v>Data Analyst</v>
      </c>
      <c r="H47" t="s">
        <v>35</v>
      </c>
      <c r="I47" t="s">
        <v>91</v>
      </c>
      <c r="J47" t="s">
        <v>222</v>
      </c>
      <c r="K47" t="str">
        <f t="shared" si="3"/>
        <v>Manufa</v>
      </c>
      <c r="L47" t="str">
        <f t="shared" si="4"/>
        <v>Others</v>
      </c>
      <c r="M47" t="s">
        <v>38</v>
      </c>
      <c r="N47" t="str">
        <f t="shared" si="5"/>
        <v>Python</v>
      </c>
      <c r="O47" t="str">
        <f t="shared" si="6"/>
        <v>Python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tr">
        <f t="shared" si="7"/>
        <v>Strong organizational data strategy, high-performing team</v>
      </c>
      <c r="Y47" t="str">
        <f t="shared" si="8"/>
        <v>Others</v>
      </c>
      <c r="Z47" t="s">
        <v>41</v>
      </c>
      <c r="AA47">
        <v>28</v>
      </c>
      <c r="AB47" t="s">
        <v>42</v>
      </c>
      <c r="AC47" t="str">
        <f t="shared" si="9"/>
        <v>United States</v>
      </c>
      <c r="AD47" t="str">
        <f t="shared" si="10"/>
        <v>United States</v>
      </c>
      <c r="AE47" t="s">
        <v>32</v>
      </c>
      <c r="AF47" t="s">
        <v>43</v>
      </c>
      <c r="AG47" t="str">
        <f t="shared" si="0"/>
        <v>White or Caucasian</v>
      </c>
      <c r="AH47" t="str">
        <f t="shared" si="11"/>
        <v>White or Caucasian</v>
      </c>
    </row>
    <row r="48" spans="1:34" x14ac:dyDescent="0.25">
      <c r="A48" t="s">
        <v>224</v>
      </c>
      <c r="B48" t="s">
        <v>30</v>
      </c>
      <c r="C48" t="s">
        <v>225</v>
      </c>
      <c r="D48" t="s">
        <v>85</v>
      </c>
      <c r="E48" t="s">
        <v>34</v>
      </c>
      <c r="F48" t="str">
        <f t="shared" si="1"/>
        <v>Data Analyst</v>
      </c>
      <c r="G48" t="str">
        <f t="shared" si="2"/>
        <v>Data Analyst</v>
      </c>
      <c r="H48" t="s">
        <v>47</v>
      </c>
      <c r="I48" t="s">
        <v>98</v>
      </c>
      <c r="J48" t="s">
        <v>49</v>
      </c>
      <c r="K48" t="str">
        <f t="shared" si="3"/>
        <v>Finance</v>
      </c>
      <c r="L48" t="str">
        <f t="shared" si="4"/>
        <v>Finance</v>
      </c>
      <c r="M48" t="s">
        <v>88</v>
      </c>
      <c r="N48" t="str">
        <f t="shared" si="5"/>
        <v>SQL</v>
      </c>
      <c r="O48" t="str">
        <f t="shared" si="6"/>
        <v>SQL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tr">
        <f t="shared" si="7"/>
        <v>Better Salary</v>
      </c>
      <c r="Y48" t="str">
        <f t="shared" si="8"/>
        <v>Better Salary</v>
      </c>
      <c r="Z48" t="s">
        <v>41</v>
      </c>
      <c r="AA48">
        <v>32</v>
      </c>
      <c r="AB48" t="s">
        <v>42</v>
      </c>
      <c r="AC48" t="str">
        <f t="shared" si="9"/>
        <v>United States</v>
      </c>
      <c r="AD48" t="str">
        <f t="shared" si="10"/>
        <v>United States</v>
      </c>
      <c r="AE48" t="s">
        <v>32</v>
      </c>
      <c r="AF48" t="s">
        <v>43</v>
      </c>
      <c r="AG48" t="str">
        <f t="shared" si="0"/>
        <v>White or Caucasian</v>
      </c>
      <c r="AH48" t="str">
        <f t="shared" si="11"/>
        <v>White or Caucasian</v>
      </c>
    </row>
    <row r="49" spans="1:34" x14ac:dyDescent="0.25">
      <c r="A49" t="s">
        <v>226</v>
      </c>
      <c r="B49" t="s">
        <v>30</v>
      </c>
      <c r="C49" t="s">
        <v>227</v>
      </c>
      <c r="D49" t="s">
        <v>228</v>
      </c>
      <c r="E49" t="s">
        <v>34</v>
      </c>
      <c r="F49" t="str">
        <f t="shared" si="1"/>
        <v>Data Analyst</v>
      </c>
      <c r="G49" t="str">
        <f t="shared" si="2"/>
        <v>Data Analyst</v>
      </c>
      <c r="H49" t="s">
        <v>35</v>
      </c>
      <c r="I49" t="s">
        <v>98</v>
      </c>
      <c r="J49" t="s">
        <v>229</v>
      </c>
      <c r="K49" t="str">
        <f t="shared" si="3"/>
        <v>Manufacturing (Chemicals)</v>
      </c>
      <c r="L49" t="str">
        <f t="shared" si="4"/>
        <v>Others</v>
      </c>
      <c r="M49" t="s">
        <v>50</v>
      </c>
      <c r="N49" t="str">
        <f t="shared" si="5"/>
        <v>R</v>
      </c>
      <c r="O49" t="str">
        <f t="shared" si="6"/>
        <v>R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tr">
        <f t="shared" si="7"/>
        <v>Remote Work</v>
      </c>
      <c r="Y49" t="str">
        <f t="shared" si="8"/>
        <v>Remote Work</v>
      </c>
      <c r="Z49" t="s">
        <v>69</v>
      </c>
      <c r="AA49">
        <v>41</v>
      </c>
      <c r="AB49" t="s">
        <v>42</v>
      </c>
      <c r="AC49" t="str">
        <f t="shared" si="9"/>
        <v>United States</v>
      </c>
      <c r="AD49" t="str">
        <f t="shared" si="10"/>
        <v>United States</v>
      </c>
      <c r="AE49" t="s">
        <v>32</v>
      </c>
      <c r="AF49" t="s">
        <v>43</v>
      </c>
      <c r="AG49" t="str">
        <f t="shared" si="0"/>
        <v>White or Caucasian</v>
      </c>
      <c r="AH49" t="str">
        <f t="shared" si="11"/>
        <v>White or Caucasian</v>
      </c>
    </row>
    <row r="50" spans="1:34" x14ac:dyDescent="0.25">
      <c r="A50" t="s">
        <v>230</v>
      </c>
      <c r="B50" t="s">
        <v>30</v>
      </c>
      <c r="C50" t="s">
        <v>227</v>
      </c>
      <c r="D50" t="s">
        <v>193</v>
      </c>
      <c r="E50" t="s">
        <v>34</v>
      </c>
      <c r="F50" t="str">
        <f t="shared" si="1"/>
        <v>Data Analyst</v>
      </c>
      <c r="G50" t="str">
        <f t="shared" si="2"/>
        <v>Data Analyst</v>
      </c>
      <c r="H50" t="s">
        <v>35</v>
      </c>
      <c r="I50" t="s">
        <v>48</v>
      </c>
      <c r="J50" t="s">
        <v>49</v>
      </c>
      <c r="K50" t="str">
        <f t="shared" si="3"/>
        <v>Finance</v>
      </c>
      <c r="L50" t="str">
        <f t="shared" si="4"/>
        <v>Finance</v>
      </c>
      <c r="M50" t="s">
        <v>38</v>
      </c>
      <c r="N50" t="str">
        <f t="shared" si="5"/>
        <v>Python</v>
      </c>
      <c r="O50" t="str">
        <f t="shared" si="6"/>
        <v>Python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tr">
        <f t="shared" si="7"/>
        <v>Remote Work</v>
      </c>
      <c r="Y50" t="str">
        <f t="shared" si="8"/>
        <v>Remote Work</v>
      </c>
      <c r="Z50" t="s">
        <v>41</v>
      </c>
      <c r="AA50">
        <v>33</v>
      </c>
      <c r="AB50" t="s">
        <v>113</v>
      </c>
      <c r="AC50" t="str">
        <f t="shared" si="9"/>
        <v>United Kingdom</v>
      </c>
      <c r="AD50" t="str">
        <f t="shared" si="10"/>
        <v>United Kingdom</v>
      </c>
      <c r="AE50" t="s">
        <v>231</v>
      </c>
      <c r="AF50" t="s">
        <v>43</v>
      </c>
      <c r="AG50" t="str">
        <f t="shared" si="0"/>
        <v>White or Caucasian</v>
      </c>
      <c r="AH50" t="str">
        <f t="shared" si="11"/>
        <v>White or Caucasian</v>
      </c>
    </row>
    <row r="51" spans="1:34" x14ac:dyDescent="0.25">
      <c r="A51" t="s">
        <v>232</v>
      </c>
      <c r="B51" t="s">
        <v>30</v>
      </c>
      <c r="C51" t="s">
        <v>227</v>
      </c>
      <c r="D51" t="s">
        <v>233</v>
      </c>
      <c r="E51" t="s">
        <v>234</v>
      </c>
      <c r="F51" t="str">
        <f t="shared" si="1"/>
        <v>Manager, Business Intelligence Develop</v>
      </c>
      <c r="G51" t="str">
        <f t="shared" si="2"/>
        <v>Others</v>
      </c>
      <c r="H51" t="s">
        <v>35</v>
      </c>
      <c r="I51" t="s">
        <v>67</v>
      </c>
      <c r="J51" t="s">
        <v>107</v>
      </c>
      <c r="K51" t="str">
        <f t="shared" si="3"/>
        <v>Tech</v>
      </c>
      <c r="L51" t="str">
        <f t="shared" si="4"/>
        <v>Tech</v>
      </c>
      <c r="M51" t="s">
        <v>38</v>
      </c>
      <c r="N51" t="str">
        <f t="shared" si="5"/>
        <v>Python</v>
      </c>
      <c r="O51" t="str">
        <f t="shared" si="6"/>
        <v>Python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tr">
        <f t="shared" si="7"/>
        <v>Good Work/Life Balance</v>
      </c>
      <c r="Y51" t="str">
        <f t="shared" si="8"/>
        <v>Good Work/Life Balance</v>
      </c>
      <c r="Z51" t="s">
        <v>41</v>
      </c>
      <c r="AA51">
        <v>38</v>
      </c>
      <c r="AB51" t="s">
        <v>42</v>
      </c>
      <c r="AC51" t="str">
        <f t="shared" si="9"/>
        <v>United States</v>
      </c>
      <c r="AD51" t="str">
        <f t="shared" si="10"/>
        <v>United States</v>
      </c>
      <c r="AE51" t="s">
        <v>32</v>
      </c>
      <c r="AF51" t="s">
        <v>95</v>
      </c>
      <c r="AG51" t="str">
        <f t="shared" si="0"/>
        <v>Hispanic or Latino</v>
      </c>
      <c r="AH51" t="str">
        <f t="shared" si="11"/>
        <v>Hispanic or Latino</v>
      </c>
    </row>
    <row r="52" spans="1:34" x14ac:dyDescent="0.25">
      <c r="A52" t="s">
        <v>235</v>
      </c>
      <c r="B52" t="s">
        <v>30</v>
      </c>
      <c r="C52" t="s">
        <v>227</v>
      </c>
      <c r="D52" t="s">
        <v>210</v>
      </c>
      <c r="E52" t="s">
        <v>34</v>
      </c>
      <c r="F52" t="str">
        <f t="shared" si="1"/>
        <v>Data Analyst</v>
      </c>
      <c r="G52" t="str">
        <f t="shared" si="2"/>
        <v>Data Analyst</v>
      </c>
      <c r="H52" t="s">
        <v>47</v>
      </c>
      <c r="I52" t="s">
        <v>57</v>
      </c>
      <c r="J52" t="s">
        <v>107</v>
      </c>
      <c r="K52" t="str">
        <f t="shared" si="3"/>
        <v>Tech</v>
      </c>
      <c r="L52" t="str">
        <f t="shared" si="4"/>
        <v>Tech</v>
      </c>
      <c r="M52" t="s">
        <v>191</v>
      </c>
      <c r="N52" t="str">
        <f t="shared" si="5"/>
        <v>sql</v>
      </c>
      <c r="O52" t="str">
        <f t="shared" si="6"/>
        <v>sql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tr">
        <f t="shared" si="7"/>
        <v>Better Salary</v>
      </c>
      <c r="Y52" t="str">
        <f t="shared" si="8"/>
        <v>Better Salary</v>
      </c>
      <c r="Z52" t="s">
        <v>69</v>
      </c>
      <c r="AA52">
        <v>22</v>
      </c>
      <c r="AB52" t="s">
        <v>151</v>
      </c>
      <c r="AC52" t="str">
        <f t="shared" si="9"/>
        <v>India</v>
      </c>
      <c r="AD52" t="str">
        <f t="shared" si="10"/>
        <v>India</v>
      </c>
      <c r="AE52" t="s">
        <v>32</v>
      </c>
      <c r="AF52" t="s">
        <v>204</v>
      </c>
      <c r="AG52" t="str">
        <f t="shared" si="0"/>
        <v>Indian</v>
      </c>
      <c r="AH52" t="str">
        <f t="shared" si="11"/>
        <v>Indian</v>
      </c>
    </row>
    <row r="53" spans="1:34" x14ac:dyDescent="0.25">
      <c r="A53" t="s">
        <v>236</v>
      </c>
      <c r="B53" t="s">
        <v>30</v>
      </c>
      <c r="C53" t="s">
        <v>237</v>
      </c>
      <c r="D53" t="s">
        <v>238</v>
      </c>
      <c r="E53" t="s">
        <v>127</v>
      </c>
      <c r="F53" t="str">
        <f t="shared" si="1"/>
        <v>Student/Looking/None</v>
      </c>
      <c r="G53" t="str">
        <f t="shared" si="2"/>
        <v>Student/Looking/None</v>
      </c>
      <c r="H53" t="s">
        <v>35</v>
      </c>
      <c r="I53" t="s">
        <v>57</v>
      </c>
      <c r="J53" t="s">
        <v>239</v>
      </c>
      <c r="K53" t="str">
        <f t="shared" si="3"/>
        <v>Currently studying . Previously worked in Power Generation</v>
      </c>
      <c r="L53" t="str">
        <f t="shared" si="4"/>
        <v>Others</v>
      </c>
      <c r="M53" t="s">
        <v>50</v>
      </c>
      <c r="N53" t="str">
        <f t="shared" si="5"/>
        <v>R</v>
      </c>
      <c r="O53" t="str">
        <f t="shared" si="6"/>
        <v>R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tr">
        <f t="shared" si="7"/>
        <v>Remote Work</v>
      </c>
      <c r="Y53" t="str">
        <f t="shared" si="8"/>
        <v>Remote Work</v>
      </c>
      <c r="Z53" t="s">
        <v>41</v>
      </c>
      <c r="AA53">
        <v>36</v>
      </c>
      <c r="AB53" t="s">
        <v>240</v>
      </c>
      <c r="AC53" t="str">
        <f t="shared" si="9"/>
        <v>Barbados</v>
      </c>
      <c r="AD53" t="str">
        <f t="shared" si="10"/>
        <v>Others</v>
      </c>
      <c r="AE53" t="s">
        <v>241</v>
      </c>
      <c r="AF53" t="s">
        <v>62</v>
      </c>
      <c r="AG53" t="str">
        <f t="shared" si="0"/>
        <v>Black or African American</v>
      </c>
      <c r="AH53" t="str">
        <f t="shared" si="11"/>
        <v>Black or African American</v>
      </c>
    </row>
    <row r="54" spans="1:34" x14ac:dyDescent="0.25">
      <c r="A54" t="s">
        <v>242</v>
      </c>
      <c r="B54" t="s">
        <v>30</v>
      </c>
      <c r="C54" t="s">
        <v>237</v>
      </c>
      <c r="D54" t="s">
        <v>243</v>
      </c>
      <c r="E54" t="s">
        <v>56</v>
      </c>
      <c r="F54" t="str">
        <f t="shared" si="1"/>
        <v>Data Engineer</v>
      </c>
      <c r="G54" t="str">
        <f t="shared" si="2"/>
        <v>Data Engineer</v>
      </c>
      <c r="H54" t="s">
        <v>47</v>
      </c>
      <c r="I54" t="s">
        <v>98</v>
      </c>
      <c r="J54" t="s">
        <v>49</v>
      </c>
      <c r="K54" t="str">
        <f t="shared" si="3"/>
        <v>Finance</v>
      </c>
      <c r="L54" t="str">
        <f t="shared" si="4"/>
        <v>Finance</v>
      </c>
      <c r="M54" t="s">
        <v>38</v>
      </c>
      <c r="N54" t="str">
        <f t="shared" si="5"/>
        <v>Python</v>
      </c>
      <c r="O54" t="str">
        <f t="shared" si="6"/>
        <v>Python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tr">
        <f t="shared" si="7"/>
        <v>Remote Work</v>
      </c>
      <c r="Y54" t="str">
        <f t="shared" si="8"/>
        <v>Remote Work</v>
      </c>
      <c r="Z54" t="s">
        <v>69</v>
      </c>
      <c r="AA54">
        <v>28</v>
      </c>
      <c r="AB54" t="s">
        <v>42</v>
      </c>
      <c r="AC54" t="str">
        <f t="shared" si="9"/>
        <v>United States</v>
      </c>
      <c r="AD54" t="str">
        <f t="shared" si="10"/>
        <v>United States</v>
      </c>
      <c r="AE54" t="s">
        <v>244</v>
      </c>
      <c r="AF54" t="s">
        <v>52</v>
      </c>
      <c r="AG54" t="str">
        <f t="shared" si="0"/>
        <v>Asian or Asian American</v>
      </c>
      <c r="AH54" t="str">
        <f t="shared" si="11"/>
        <v>Asian or Asian American</v>
      </c>
    </row>
    <row r="55" spans="1:34" x14ac:dyDescent="0.25">
      <c r="A55" t="s">
        <v>245</v>
      </c>
      <c r="B55" t="s">
        <v>30</v>
      </c>
      <c r="C55" t="s">
        <v>246</v>
      </c>
      <c r="D55" t="s">
        <v>247</v>
      </c>
      <c r="E55" t="s">
        <v>127</v>
      </c>
      <c r="F55" t="str">
        <f t="shared" si="1"/>
        <v>Student/Looking/None</v>
      </c>
      <c r="G55" t="str">
        <f t="shared" si="2"/>
        <v>Student/Looking/None</v>
      </c>
      <c r="H55" t="s">
        <v>35</v>
      </c>
      <c r="I55" t="s">
        <v>57</v>
      </c>
      <c r="J55" t="s">
        <v>248</v>
      </c>
      <c r="K55" t="str">
        <f t="shared" si="3"/>
        <v>Not working at the moment, but previously I have been into Education industry</v>
      </c>
      <c r="L55" t="str">
        <f t="shared" si="4"/>
        <v>Others</v>
      </c>
      <c r="M55" t="s">
        <v>249</v>
      </c>
      <c r="N55" t="str">
        <f t="shared" si="5"/>
        <v>If SQL is categorised as a programming language then I will definitely say SQL. Since I am still learning, I can't give a definite answer in relation to the abover mentioned but for the sake of choosing I will say R then followed by python</v>
      </c>
      <c r="O55" t="str">
        <f t="shared" si="6"/>
        <v>Others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tr">
        <f t="shared" si="7"/>
        <v>I would say a combination of good work/life balance with a better pay and the exposure to a workplace that supposed growth</v>
      </c>
      <c r="Y55" t="str">
        <f t="shared" si="8"/>
        <v>Others</v>
      </c>
      <c r="Z55" t="s">
        <v>41</v>
      </c>
      <c r="AA55">
        <v>30</v>
      </c>
      <c r="AB55" t="s">
        <v>251</v>
      </c>
      <c r="AC55" t="str">
        <f t="shared" si="9"/>
        <v>South Africa</v>
      </c>
      <c r="AD55" t="str">
        <f t="shared" si="10"/>
        <v>Others</v>
      </c>
      <c r="AE55" t="s">
        <v>32</v>
      </c>
      <c r="AF55" t="s">
        <v>252</v>
      </c>
      <c r="AG55" t="str">
        <f t="shared" si="0"/>
        <v>Black African, Zimbabwean Citizen</v>
      </c>
      <c r="AH55" t="str">
        <f t="shared" si="11"/>
        <v>Others</v>
      </c>
    </row>
    <row r="56" spans="1:34" x14ac:dyDescent="0.25">
      <c r="A56" t="s">
        <v>253</v>
      </c>
      <c r="B56" t="s">
        <v>30</v>
      </c>
      <c r="C56" t="s">
        <v>246</v>
      </c>
      <c r="D56" t="s">
        <v>254</v>
      </c>
      <c r="E56" t="s">
        <v>34</v>
      </c>
      <c r="F56" t="str">
        <f t="shared" si="1"/>
        <v>Data Analyst</v>
      </c>
      <c r="G56" t="str">
        <f t="shared" si="2"/>
        <v>Data Analyst</v>
      </c>
      <c r="H56" t="s">
        <v>35</v>
      </c>
      <c r="I56" t="s">
        <v>98</v>
      </c>
      <c r="J56" t="s">
        <v>107</v>
      </c>
      <c r="K56" t="str">
        <f t="shared" si="3"/>
        <v>Tech</v>
      </c>
      <c r="L56" t="str">
        <f t="shared" si="4"/>
        <v>Tech</v>
      </c>
      <c r="M56" t="s">
        <v>38</v>
      </c>
      <c r="N56" t="str">
        <f t="shared" si="5"/>
        <v>Python</v>
      </c>
      <c r="O56" t="str">
        <f t="shared" si="6"/>
        <v>Python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tr">
        <f t="shared" si="7"/>
        <v>Currently very happy with where I am.</v>
      </c>
      <c r="Y56" t="str">
        <f t="shared" si="8"/>
        <v>Others</v>
      </c>
      <c r="Z56" t="s">
        <v>69</v>
      </c>
      <c r="AA56">
        <v>24</v>
      </c>
      <c r="AB56" t="s">
        <v>42</v>
      </c>
      <c r="AC56" t="str">
        <f t="shared" si="9"/>
        <v>United States</v>
      </c>
      <c r="AD56" t="str">
        <f t="shared" si="10"/>
        <v>United States</v>
      </c>
      <c r="AE56" t="s">
        <v>241</v>
      </c>
      <c r="AF56" t="s">
        <v>95</v>
      </c>
      <c r="AG56" t="str">
        <f t="shared" si="0"/>
        <v>Hispanic or Latino</v>
      </c>
      <c r="AH56" t="str">
        <f t="shared" si="11"/>
        <v>Hispanic or Latino</v>
      </c>
    </row>
    <row r="57" spans="1:34" x14ac:dyDescent="0.25">
      <c r="A57" t="s">
        <v>256</v>
      </c>
      <c r="B57" t="s">
        <v>30</v>
      </c>
      <c r="C57" t="s">
        <v>257</v>
      </c>
      <c r="D57" t="s">
        <v>258</v>
      </c>
      <c r="E57" t="s">
        <v>259</v>
      </c>
      <c r="F57" t="str">
        <f t="shared" si="1"/>
        <v>Business Analyst</v>
      </c>
      <c r="G57" t="str">
        <f t="shared" si="2"/>
        <v>Business Analyst</v>
      </c>
      <c r="H57" t="s">
        <v>47</v>
      </c>
      <c r="I57" t="s">
        <v>48</v>
      </c>
      <c r="J57" t="s">
        <v>260</v>
      </c>
      <c r="K57" t="str">
        <f t="shared" si="3"/>
        <v>Third Party Logistics</v>
      </c>
      <c r="L57" t="str">
        <f t="shared" si="4"/>
        <v>Others</v>
      </c>
      <c r="M57" t="s">
        <v>261</v>
      </c>
      <c r="N57" t="str">
        <f t="shared" si="5"/>
        <v>C/C++</v>
      </c>
      <c r="O57" t="str">
        <f t="shared" si="6"/>
        <v>C/C++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tr">
        <f t="shared" si="7"/>
        <v>Better Salary</v>
      </c>
      <c r="Y57" t="str">
        <f t="shared" si="8"/>
        <v>Better Salary</v>
      </c>
      <c r="Z57" t="s">
        <v>41</v>
      </c>
      <c r="AA57">
        <v>29</v>
      </c>
      <c r="AB57" t="s">
        <v>42</v>
      </c>
      <c r="AC57" t="str">
        <f t="shared" si="9"/>
        <v>United States</v>
      </c>
      <c r="AD57" t="str">
        <f t="shared" si="10"/>
        <v>United States</v>
      </c>
      <c r="AE57" t="s">
        <v>241</v>
      </c>
      <c r="AF57" t="s">
        <v>43</v>
      </c>
      <c r="AG57" t="str">
        <f t="shared" si="0"/>
        <v>White or Caucasian</v>
      </c>
      <c r="AH57" t="str">
        <f t="shared" si="11"/>
        <v>White or Caucasian</v>
      </c>
    </row>
    <row r="58" spans="1:34" x14ac:dyDescent="0.25">
      <c r="A58" t="s">
        <v>262</v>
      </c>
      <c r="B58" t="s">
        <v>30</v>
      </c>
      <c r="C58" t="s">
        <v>263</v>
      </c>
      <c r="D58" t="s">
        <v>264</v>
      </c>
      <c r="E58" t="s">
        <v>34</v>
      </c>
      <c r="F58" t="str">
        <f t="shared" si="1"/>
        <v>Data Analyst</v>
      </c>
      <c r="G58" t="str">
        <f t="shared" si="2"/>
        <v>Data Analyst</v>
      </c>
      <c r="H58" t="s">
        <v>47</v>
      </c>
      <c r="I58" t="s">
        <v>57</v>
      </c>
      <c r="J58" t="s">
        <v>107</v>
      </c>
      <c r="K58" t="str">
        <f t="shared" si="3"/>
        <v>Tech</v>
      </c>
      <c r="L58" t="str">
        <f t="shared" si="4"/>
        <v>Tech</v>
      </c>
      <c r="M58" t="s">
        <v>38</v>
      </c>
      <c r="N58" t="str">
        <f t="shared" si="5"/>
        <v>Python</v>
      </c>
      <c r="O58" t="str">
        <f t="shared" si="6"/>
        <v>Python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tr">
        <f t="shared" si="7"/>
        <v>Better Salary</v>
      </c>
      <c r="Y58" t="str">
        <f t="shared" si="8"/>
        <v>Better Salary</v>
      </c>
      <c r="Z58" t="s">
        <v>41</v>
      </c>
      <c r="AA58">
        <v>29</v>
      </c>
      <c r="AB58" t="s">
        <v>265</v>
      </c>
      <c r="AC58" t="str">
        <f t="shared" si="9"/>
        <v>Colombia</v>
      </c>
      <c r="AD58" t="str">
        <f t="shared" si="10"/>
        <v>Others</v>
      </c>
      <c r="AE58" t="s">
        <v>266</v>
      </c>
      <c r="AF58" t="s">
        <v>95</v>
      </c>
      <c r="AG58" t="str">
        <f t="shared" si="0"/>
        <v>Hispanic or Latino</v>
      </c>
      <c r="AH58" t="str">
        <f t="shared" si="11"/>
        <v>Hispanic or Latino</v>
      </c>
    </row>
    <row r="59" spans="1:34" x14ac:dyDescent="0.25">
      <c r="A59" t="s">
        <v>267</v>
      </c>
      <c r="B59" t="s">
        <v>30</v>
      </c>
      <c r="C59" t="s">
        <v>268</v>
      </c>
      <c r="D59" t="s">
        <v>269</v>
      </c>
      <c r="E59" t="s">
        <v>270</v>
      </c>
      <c r="F59" t="str">
        <f t="shared" si="1"/>
        <v>Business Analyst</v>
      </c>
      <c r="G59" t="str">
        <f t="shared" si="2"/>
        <v>Business Analyst</v>
      </c>
      <c r="H59" t="s">
        <v>35</v>
      </c>
      <c r="I59" t="s">
        <v>48</v>
      </c>
      <c r="J59" t="s">
        <v>182</v>
      </c>
      <c r="K59" t="str">
        <f t="shared" si="3"/>
        <v>Automotive</v>
      </c>
      <c r="L59" t="str">
        <f t="shared" si="4"/>
        <v>Others</v>
      </c>
      <c r="M59" t="s">
        <v>38</v>
      </c>
      <c r="N59" t="str">
        <f t="shared" si="5"/>
        <v>Python</v>
      </c>
      <c r="O59" t="str">
        <f t="shared" si="6"/>
        <v>Python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tr">
        <f t="shared" si="7"/>
        <v>Good Work/Life Balance</v>
      </c>
      <c r="Y59" t="str">
        <f t="shared" si="8"/>
        <v>Good Work/Life Balance</v>
      </c>
      <c r="Z59" t="s">
        <v>41</v>
      </c>
      <c r="AA59">
        <v>38</v>
      </c>
      <c r="AB59" t="s">
        <v>271</v>
      </c>
      <c r="AC59" t="str">
        <f t="shared" si="9"/>
        <v>Germany</v>
      </c>
      <c r="AD59" t="str">
        <f t="shared" si="10"/>
        <v>Germany</v>
      </c>
      <c r="AE59" t="s">
        <v>244</v>
      </c>
      <c r="AF59" t="s">
        <v>43</v>
      </c>
      <c r="AG59" t="str">
        <f t="shared" si="0"/>
        <v>White or Caucasian</v>
      </c>
      <c r="AH59" t="str">
        <f t="shared" si="11"/>
        <v>White or Caucasian</v>
      </c>
    </row>
    <row r="60" spans="1:34" x14ac:dyDescent="0.25">
      <c r="A60" t="s">
        <v>272</v>
      </c>
      <c r="B60" t="s">
        <v>30</v>
      </c>
      <c r="C60" t="s">
        <v>268</v>
      </c>
      <c r="D60" t="s">
        <v>273</v>
      </c>
      <c r="E60" t="s">
        <v>34</v>
      </c>
      <c r="F60" t="str">
        <f t="shared" si="1"/>
        <v>Data Analyst</v>
      </c>
      <c r="G60" t="str">
        <f t="shared" si="2"/>
        <v>Data Analyst</v>
      </c>
      <c r="H60" t="s">
        <v>35</v>
      </c>
      <c r="I60" t="s">
        <v>57</v>
      </c>
      <c r="J60" t="s">
        <v>49</v>
      </c>
      <c r="K60" t="str">
        <f t="shared" si="3"/>
        <v>Finance</v>
      </c>
      <c r="L60" t="str">
        <f t="shared" si="4"/>
        <v>Finance</v>
      </c>
      <c r="M60" t="s">
        <v>274</v>
      </c>
      <c r="N60" t="str">
        <f t="shared" si="5"/>
        <v>I don’t know any</v>
      </c>
      <c r="O60" t="str">
        <f t="shared" si="6"/>
        <v>Others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tr">
        <f t="shared" si="7"/>
        <v>Good Work/Life Balance</v>
      </c>
      <c r="Y60" t="str">
        <f t="shared" si="8"/>
        <v>Good Work/Life Balance</v>
      </c>
      <c r="Z60" t="s">
        <v>41</v>
      </c>
      <c r="AA60">
        <v>31</v>
      </c>
      <c r="AB60" t="s">
        <v>275</v>
      </c>
      <c r="AC60" t="str">
        <f t="shared" si="9"/>
        <v>Bulgaria</v>
      </c>
      <c r="AD60" t="str">
        <f t="shared" si="10"/>
        <v>Others</v>
      </c>
      <c r="AE60" t="s">
        <v>244</v>
      </c>
      <c r="AF60" t="s">
        <v>43</v>
      </c>
      <c r="AG60" t="str">
        <f t="shared" si="0"/>
        <v>White or Caucasian</v>
      </c>
      <c r="AH60" t="str">
        <f t="shared" si="11"/>
        <v>White or Caucasian</v>
      </c>
    </row>
    <row r="61" spans="1:34" x14ac:dyDescent="0.25">
      <c r="A61" t="s">
        <v>276</v>
      </c>
      <c r="B61" t="s">
        <v>30</v>
      </c>
      <c r="C61" t="s">
        <v>277</v>
      </c>
      <c r="D61" t="s">
        <v>190</v>
      </c>
      <c r="E61" t="s">
        <v>127</v>
      </c>
      <c r="F61" t="str">
        <f t="shared" si="1"/>
        <v>Student/Looking/None</v>
      </c>
      <c r="G61" t="str">
        <f t="shared" si="2"/>
        <v>Student/Looking/None</v>
      </c>
      <c r="H61" t="s">
        <v>47</v>
      </c>
      <c r="I61" t="s">
        <v>57</v>
      </c>
      <c r="J61" t="s">
        <v>107</v>
      </c>
      <c r="K61" t="str">
        <f t="shared" si="3"/>
        <v>Tech</v>
      </c>
      <c r="L61" t="str">
        <f t="shared" si="4"/>
        <v>Tech</v>
      </c>
      <c r="M61" t="s">
        <v>38</v>
      </c>
      <c r="N61" t="str">
        <f t="shared" si="5"/>
        <v>Python</v>
      </c>
      <c r="O61" t="str">
        <f t="shared" si="6"/>
        <v>Python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tr">
        <f t="shared" si="7"/>
        <v>Better Salary</v>
      </c>
      <c r="Y61" t="str">
        <f t="shared" si="8"/>
        <v>Better Salary</v>
      </c>
      <c r="Z61" t="s">
        <v>41</v>
      </c>
      <c r="AA61">
        <v>25</v>
      </c>
      <c r="AB61" t="s">
        <v>42</v>
      </c>
      <c r="AC61" t="str">
        <f t="shared" si="9"/>
        <v>United States</v>
      </c>
      <c r="AD61" t="str">
        <f t="shared" si="10"/>
        <v>United States</v>
      </c>
      <c r="AE61" t="s">
        <v>244</v>
      </c>
      <c r="AF61" t="s">
        <v>43</v>
      </c>
      <c r="AG61" t="str">
        <f t="shared" si="0"/>
        <v>White or Caucasian</v>
      </c>
      <c r="AH61" t="str">
        <f t="shared" si="11"/>
        <v>White or Caucasian</v>
      </c>
    </row>
    <row r="62" spans="1:34" x14ac:dyDescent="0.25">
      <c r="A62" t="s">
        <v>278</v>
      </c>
      <c r="B62" t="s">
        <v>30</v>
      </c>
      <c r="C62" t="s">
        <v>277</v>
      </c>
      <c r="D62" t="s">
        <v>279</v>
      </c>
      <c r="E62" t="s">
        <v>34</v>
      </c>
      <c r="F62" t="str">
        <f t="shared" si="1"/>
        <v>Data Analyst</v>
      </c>
      <c r="G62" t="str">
        <f t="shared" si="2"/>
        <v>Data Analyst</v>
      </c>
      <c r="H62" t="s">
        <v>47</v>
      </c>
      <c r="I62" t="s">
        <v>98</v>
      </c>
      <c r="J62" t="s">
        <v>94</v>
      </c>
      <c r="K62" t="str">
        <f t="shared" si="3"/>
        <v>Telecommunication</v>
      </c>
      <c r="L62" t="str">
        <f t="shared" si="4"/>
        <v>Telecommunication</v>
      </c>
      <c r="M62" t="s">
        <v>38</v>
      </c>
      <c r="N62" t="str">
        <f t="shared" si="5"/>
        <v>Python</v>
      </c>
      <c r="O62" t="str">
        <f t="shared" si="6"/>
        <v>Python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tr">
        <f t="shared" si="7"/>
        <v>Better Salary</v>
      </c>
      <c r="Y62" t="str">
        <f t="shared" si="8"/>
        <v>Better Salary</v>
      </c>
      <c r="Z62" t="s">
        <v>41</v>
      </c>
      <c r="AA62">
        <v>24</v>
      </c>
      <c r="AB62" t="s">
        <v>42</v>
      </c>
      <c r="AC62" t="str">
        <f t="shared" si="9"/>
        <v>United States</v>
      </c>
      <c r="AD62" t="str">
        <f t="shared" si="10"/>
        <v>United States</v>
      </c>
      <c r="AE62" t="s">
        <v>244</v>
      </c>
      <c r="AF62" t="s">
        <v>43</v>
      </c>
      <c r="AG62" t="str">
        <f t="shared" si="0"/>
        <v>White or Caucasian</v>
      </c>
      <c r="AH62" t="str">
        <f t="shared" si="11"/>
        <v>White or Caucasian</v>
      </c>
    </row>
    <row r="63" spans="1:34" x14ac:dyDescent="0.25">
      <c r="A63" t="s">
        <v>280</v>
      </c>
      <c r="B63" t="s">
        <v>30</v>
      </c>
      <c r="C63" t="s">
        <v>281</v>
      </c>
      <c r="D63" t="s">
        <v>282</v>
      </c>
      <c r="E63" t="s">
        <v>283</v>
      </c>
      <c r="F63" t="str">
        <f t="shared" si="1"/>
        <v>Business Intelligence Consultant</v>
      </c>
      <c r="G63" t="str">
        <f t="shared" si="2"/>
        <v>Others</v>
      </c>
      <c r="H63" t="s">
        <v>35</v>
      </c>
      <c r="I63" t="s">
        <v>48</v>
      </c>
      <c r="J63" t="s">
        <v>107</v>
      </c>
      <c r="K63" t="str">
        <f t="shared" si="3"/>
        <v>Tech</v>
      </c>
      <c r="L63" t="str">
        <f t="shared" si="4"/>
        <v>Tech</v>
      </c>
      <c r="M63" t="s">
        <v>38</v>
      </c>
      <c r="N63" t="str">
        <f t="shared" si="5"/>
        <v>Python</v>
      </c>
      <c r="O63" t="str">
        <f t="shared" si="6"/>
        <v>Python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tr">
        <f t="shared" si="7"/>
        <v>Better Salary</v>
      </c>
      <c r="Y63" t="str">
        <f t="shared" si="8"/>
        <v>Better Salary</v>
      </c>
      <c r="Z63" t="s">
        <v>41</v>
      </c>
      <c r="AA63">
        <v>28</v>
      </c>
      <c r="AB63" t="s">
        <v>284</v>
      </c>
      <c r="AC63" t="str">
        <f t="shared" si="9"/>
        <v>Turkey</v>
      </c>
      <c r="AD63" t="str">
        <f t="shared" si="10"/>
        <v>Others</v>
      </c>
      <c r="AE63" t="s">
        <v>241</v>
      </c>
      <c r="AF63" t="s">
        <v>43</v>
      </c>
      <c r="AG63" t="str">
        <f t="shared" si="0"/>
        <v>White or Caucasian</v>
      </c>
      <c r="AH63" t="str">
        <f t="shared" si="11"/>
        <v>White or Caucasian</v>
      </c>
    </row>
    <row r="64" spans="1:34" x14ac:dyDescent="0.25">
      <c r="A64" t="s">
        <v>285</v>
      </c>
      <c r="B64" t="s">
        <v>30</v>
      </c>
      <c r="C64" t="s">
        <v>286</v>
      </c>
      <c r="D64" t="s">
        <v>287</v>
      </c>
      <c r="E64" t="s">
        <v>127</v>
      </c>
      <c r="F64" t="str">
        <f t="shared" si="1"/>
        <v>Student/Looking/None</v>
      </c>
      <c r="G64" t="str">
        <f t="shared" si="2"/>
        <v>Student/Looking/None</v>
      </c>
      <c r="H64" t="s">
        <v>47</v>
      </c>
      <c r="I64" t="s">
        <v>57</v>
      </c>
      <c r="J64" t="s">
        <v>107</v>
      </c>
      <c r="K64" t="str">
        <f t="shared" si="3"/>
        <v>Tech</v>
      </c>
      <c r="L64" t="str">
        <f t="shared" si="4"/>
        <v>Tech</v>
      </c>
      <c r="M64" t="s">
        <v>38</v>
      </c>
      <c r="N64" t="str">
        <f t="shared" si="5"/>
        <v>Python</v>
      </c>
      <c r="O64" t="str">
        <f t="shared" si="6"/>
        <v>Python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tr">
        <f t="shared" si="7"/>
        <v>Good Culture</v>
      </c>
      <c r="Y64" t="str">
        <f t="shared" si="8"/>
        <v>Good Culture</v>
      </c>
      <c r="Z64" t="s">
        <v>69</v>
      </c>
      <c r="AA64">
        <v>23</v>
      </c>
      <c r="AB64" t="s">
        <v>151</v>
      </c>
      <c r="AC64" t="str">
        <f t="shared" si="9"/>
        <v>India</v>
      </c>
      <c r="AD64" t="str">
        <f t="shared" si="10"/>
        <v>India</v>
      </c>
      <c r="AE64" t="s">
        <v>241</v>
      </c>
      <c r="AF64" t="s">
        <v>52</v>
      </c>
      <c r="AG64" t="str">
        <f t="shared" si="0"/>
        <v>Asian or Asian American</v>
      </c>
      <c r="AH64" t="str">
        <f t="shared" si="11"/>
        <v>Asian or Asian American</v>
      </c>
    </row>
    <row r="65" spans="1:34" x14ac:dyDescent="0.25">
      <c r="A65" t="s">
        <v>288</v>
      </c>
      <c r="B65" t="s">
        <v>30</v>
      </c>
      <c r="C65" t="s">
        <v>286</v>
      </c>
      <c r="D65" t="s">
        <v>289</v>
      </c>
      <c r="E65" t="s">
        <v>56</v>
      </c>
      <c r="F65" t="str">
        <f t="shared" si="1"/>
        <v>Data Engineer</v>
      </c>
      <c r="G65" t="str">
        <f t="shared" si="2"/>
        <v>Data Engineer</v>
      </c>
      <c r="H65" t="s">
        <v>47</v>
      </c>
      <c r="I65" t="s">
        <v>57</v>
      </c>
      <c r="J65" t="s">
        <v>107</v>
      </c>
      <c r="K65" t="str">
        <f t="shared" si="3"/>
        <v>Tech</v>
      </c>
      <c r="L65" t="str">
        <f t="shared" si="4"/>
        <v>Tech</v>
      </c>
      <c r="M65" t="s">
        <v>50</v>
      </c>
      <c r="N65" t="str">
        <f t="shared" si="5"/>
        <v>R</v>
      </c>
      <c r="O65" t="str">
        <f t="shared" si="6"/>
        <v>R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tr">
        <f t="shared" si="7"/>
        <v>Remote Work</v>
      </c>
      <c r="Y65" t="str">
        <f t="shared" si="8"/>
        <v>Remote Work</v>
      </c>
      <c r="Z65" t="s">
        <v>41</v>
      </c>
      <c r="AA65">
        <v>21</v>
      </c>
      <c r="AB65" t="s">
        <v>211</v>
      </c>
      <c r="AC65" t="str">
        <f t="shared" si="9"/>
        <v>Spain</v>
      </c>
      <c r="AD65" t="str">
        <f t="shared" si="10"/>
        <v>Spain</v>
      </c>
      <c r="AE65" t="s">
        <v>244</v>
      </c>
      <c r="AF65" t="s">
        <v>95</v>
      </c>
      <c r="AG65" t="str">
        <f t="shared" si="0"/>
        <v>Hispanic or Latino</v>
      </c>
      <c r="AH65" t="str">
        <f t="shared" si="11"/>
        <v>Hispanic or Latino</v>
      </c>
    </row>
    <row r="66" spans="1:34" x14ac:dyDescent="0.25">
      <c r="A66" t="s">
        <v>290</v>
      </c>
      <c r="B66" t="s">
        <v>30</v>
      </c>
      <c r="C66" t="s">
        <v>291</v>
      </c>
      <c r="D66" t="s">
        <v>292</v>
      </c>
      <c r="E66" t="s">
        <v>34</v>
      </c>
      <c r="F66" t="str">
        <f t="shared" si="1"/>
        <v>Data Analyst</v>
      </c>
      <c r="G66" t="str">
        <f t="shared" si="2"/>
        <v>Data Analyst</v>
      </c>
      <c r="H66" t="s">
        <v>47</v>
      </c>
      <c r="I66" t="s">
        <v>57</v>
      </c>
      <c r="J66" t="s">
        <v>159</v>
      </c>
      <c r="K66" t="str">
        <f t="shared" si="3"/>
        <v>Energy</v>
      </c>
      <c r="L66" t="str">
        <f t="shared" si="4"/>
        <v>Others</v>
      </c>
      <c r="M66" t="s">
        <v>38</v>
      </c>
      <c r="N66" t="str">
        <f t="shared" si="5"/>
        <v>Python</v>
      </c>
      <c r="O66" t="str">
        <f t="shared" si="6"/>
        <v>Python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tr">
        <f t="shared" si="7"/>
        <v>Remote Work</v>
      </c>
      <c r="Y66" t="str">
        <f t="shared" si="8"/>
        <v>Remote Work</v>
      </c>
      <c r="Z66" t="s">
        <v>41</v>
      </c>
      <c r="AA66">
        <v>29</v>
      </c>
      <c r="AB66" t="s">
        <v>293</v>
      </c>
      <c r="AC66" t="str">
        <f t="shared" si="9"/>
        <v>France</v>
      </c>
      <c r="AD66" t="str">
        <f t="shared" si="10"/>
        <v>Others</v>
      </c>
      <c r="AE66" t="s">
        <v>241</v>
      </c>
      <c r="AF66" t="s">
        <v>294</v>
      </c>
      <c r="AG66" t="str">
        <f t="shared" ref="AG66:AG129" si="12">IF(ISNUMBER(SEARCH("other",AF66)),IF(TRIM(MID(AF66, FIND(")",AF66)+1, LEN(AF66)))="", "Other", TRIM(MID(AF66, FIND(":",AF66)+1, LEN(AF66)))),AF66)</f>
        <v>Human</v>
      </c>
      <c r="AH66" t="str">
        <f t="shared" si="11"/>
        <v>Others</v>
      </c>
    </row>
    <row r="67" spans="1:34" x14ac:dyDescent="0.25">
      <c r="A67" t="s">
        <v>295</v>
      </c>
      <c r="B67" t="s">
        <v>30</v>
      </c>
      <c r="C67" t="s">
        <v>296</v>
      </c>
      <c r="D67" t="s">
        <v>297</v>
      </c>
      <c r="E67" t="s">
        <v>34</v>
      </c>
      <c r="F67" t="str">
        <f t="shared" ref="F67:F130" si="13">IF(ISNUMBER(SEARCH("other",E67)),IF(TRIM(MID(E67, FIND(")",E67)+1, LEN(E67)))="", "Other", TRIM(MID(E67, FIND(":",E67)+1, LEN(E67)))),E67)</f>
        <v>Data Analyst</v>
      </c>
      <c r="G67" t="str">
        <f t="shared" ref="G67:G130" si="14">IF(COUNTIF(F:F,F67)&lt;5,"Others",F67)</f>
        <v>Data Analyst</v>
      </c>
      <c r="H67" t="s">
        <v>35</v>
      </c>
      <c r="I67" t="s">
        <v>48</v>
      </c>
      <c r="J67" t="s">
        <v>107</v>
      </c>
      <c r="K67" t="str">
        <f t="shared" ref="K67:K130" si="15">IF(ISNUMBER(SEARCH("other",J67)),IF(TRIM(MID(J67, FIND(")",J67)+1, LEN(J67)))="", "Other", TRIM(MID(J67, FIND(":",J67)+1, LEN(J67)))),J67)</f>
        <v>Tech</v>
      </c>
      <c r="L67" t="str">
        <f t="shared" ref="L67:L130" si="16">IF(COUNTIF(K:K,K67)&lt;10,"Others",K67)</f>
        <v>Tech</v>
      </c>
      <c r="M67" t="s">
        <v>38</v>
      </c>
      <c r="N67" t="str">
        <f t="shared" ref="N67:N130" si="17">IF(ISNUMBER(SEARCH("other",M67)),IF(TRIM(MID(M67, FIND("Other",M67)+1, LEN(M67)))="", "Other", TRIM(MID(M67, FIND(":",M67)+1, LEN(M67)))),M67)</f>
        <v>Python</v>
      </c>
      <c r="O67" t="str">
        <f t="shared" ref="O67:O130" si="18">IF(COUNTIF(N:N,N67)&lt;5,"Others",N67)</f>
        <v>Python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tr">
        <f t="shared" ref="X67:X130" si="19">IF(ISNUMBER(SEARCH("other",W67)),IF(TRIM(MID(W67, FIND(")",W67)+1, LEN(W67)))="", "Other", TRIM(MID(W67, FIND(":",W67)+1, LEN(W67)))),W67)</f>
        <v>Better Salary</v>
      </c>
      <c r="Y67" t="str">
        <f t="shared" ref="Y67:Y130" si="20">IF(COUNTIF(X:X,X67)&lt;5,"Others",X67)</f>
        <v>Better Salary</v>
      </c>
      <c r="Z67" t="s">
        <v>41</v>
      </c>
      <c r="AA67">
        <v>25</v>
      </c>
      <c r="AB67" t="s">
        <v>42</v>
      </c>
      <c r="AC67" t="str">
        <f t="shared" ref="AC67:AC130" si="21">IF(ISNUMBER(SEARCH("other",AB67)),IF(TRIM(MID(AB67, FIND(")",AB67)+1, LEN(AB67)))="", "Other", TRIM(MID(AB67, FIND(":",AB67)+1, LEN(AB67)))),AB67)</f>
        <v>United States</v>
      </c>
      <c r="AD67" t="str">
        <f t="shared" ref="AD67:AD130" si="22">IF(COUNTIF(AC:AC,AC67)&lt;5,"Others",AC67)</f>
        <v>United States</v>
      </c>
      <c r="AE67" t="s">
        <v>241</v>
      </c>
      <c r="AF67" t="s">
        <v>52</v>
      </c>
      <c r="AG67" t="str">
        <f t="shared" si="12"/>
        <v>Asian or Asian American</v>
      </c>
      <c r="AH67" t="str">
        <f t="shared" ref="AH67:AH130" si="23">IF(COUNTIF(AG:AG,AG67)&lt;5,"Others",AG67)</f>
        <v>Asian or Asian American</v>
      </c>
    </row>
    <row r="68" spans="1:34" x14ac:dyDescent="0.25">
      <c r="A68" t="s">
        <v>298</v>
      </c>
      <c r="B68" t="s">
        <v>30</v>
      </c>
      <c r="C68" t="s">
        <v>296</v>
      </c>
      <c r="D68" t="s">
        <v>116</v>
      </c>
      <c r="E68" t="s">
        <v>34</v>
      </c>
      <c r="F68" t="str">
        <f t="shared" si="13"/>
        <v>Data Analyst</v>
      </c>
      <c r="G68" t="str">
        <f t="shared" si="14"/>
        <v>Data Analyst</v>
      </c>
      <c r="H68" t="s">
        <v>47</v>
      </c>
      <c r="I68" t="s">
        <v>48</v>
      </c>
      <c r="J68" t="s">
        <v>107</v>
      </c>
      <c r="K68" t="str">
        <f t="shared" si="15"/>
        <v>Tech</v>
      </c>
      <c r="L68" t="str">
        <f t="shared" si="16"/>
        <v>Tech</v>
      </c>
      <c r="M68" t="s">
        <v>38</v>
      </c>
      <c r="N68" t="str">
        <f t="shared" si="17"/>
        <v>Python</v>
      </c>
      <c r="O68" t="str">
        <f t="shared" si="18"/>
        <v>Python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tr">
        <f t="shared" si="19"/>
        <v>Good Culture</v>
      </c>
      <c r="Y68" t="str">
        <f t="shared" si="20"/>
        <v>Good Culture</v>
      </c>
      <c r="Z68" t="s">
        <v>41</v>
      </c>
      <c r="AA68">
        <v>27</v>
      </c>
      <c r="AB68" t="s">
        <v>271</v>
      </c>
      <c r="AC68" t="str">
        <f t="shared" si="21"/>
        <v>Germany</v>
      </c>
      <c r="AD68" t="str">
        <f t="shared" si="22"/>
        <v>Germany</v>
      </c>
      <c r="AE68" t="s">
        <v>244</v>
      </c>
      <c r="AF68" t="s">
        <v>62</v>
      </c>
      <c r="AG68" t="str">
        <f t="shared" si="12"/>
        <v>Black or African American</v>
      </c>
      <c r="AH68" t="str">
        <f t="shared" si="23"/>
        <v>Black or African American</v>
      </c>
    </row>
    <row r="69" spans="1:34" x14ac:dyDescent="0.25">
      <c r="A69" t="s">
        <v>299</v>
      </c>
      <c r="B69" t="s">
        <v>30</v>
      </c>
      <c r="C69" t="s">
        <v>300</v>
      </c>
      <c r="D69" t="s">
        <v>301</v>
      </c>
      <c r="E69" t="s">
        <v>34</v>
      </c>
      <c r="F69" t="str">
        <f t="shared" si="13"/>
        <v>Data Analyst</v>
      </c>
      <c r="G69" t="str">
        <f t="shared" si="14"/>
        <v>Data Analyst</v>
      </c>
      <c r="H69" t="s">
        <v>35</v>
      </c>
      <c r="I69" t="s">
        <v>48</v>
      </c>
      <c r="J69" t="s">
        <v>107</v>
      </c>
      <c r="K69" t="str">
        <f t="shared" si="15"/>
        <v>Tech</v>
      </c>
      <c r="L69" t="str">
        <f t="shared" si="16"/>
        <v>Tech</v>
      </c>
      <c r="M69" t="s">
        <v>38</v>
      </c>
      <c r="N69" t="str">
        <f t="shared" si="17"/>
        <v>Python</v>
      </c>
      <c r="O69" t="str">
        <f t="shared" si="18"/>
        <v>Python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tr">
        <f t="shared" si="19"/>
        <v>Better Salary</v>
      </c>
      <c r="Y69" t="str">
        <f t="shared" si="20"/>
        <v>Better Salary</v>
      </c>
      <c r="Z69" t="s">
        <v>41</v>
      </c>
      <c r="AA69">
        <v>23</v>
      </c>
      <c r="AB69" t="s">
        <v>151</v>
      </c>
      <c r="AC69" t="str">
        <f t="shared" si="21"/>
        <v>India</v>
      </c>
      <c r="AD69" t="str">
        <f t="shared" si="22"/>
        <v>India</v>
      </c>
      <c r="AE69" t="s">
        <v>241</v>
      </c>
      <c r="AF69" t="s">
        <v>52</v>
      </c>
      <c r="AG69" t="str">
        <f t="shared" si="12"/>
        <v>Asian or Asian American</v>
      </c>
      <c r="AH69" t="str">
        <f t="shared" si="23"/>
        <v>Asian or Asian American</v>
      </c>
    </row>
    <row r="70" spans="1:34" x14ac:dyDescent="0.25">
      <c r="A70" t="s">
        <v>302</v>
      </c>
      <c r="B70" t="s">
        <v>30</v>
      </c>
      <c r="C70" t="s">
        <v>300</v>
      </c>
      <c r="D70" t="s">
        <v>303</v>
      </c>
      <c r="E70" t="s">
        <v>304</v>
      </c>
      <c r="F70" t="str">
        <f t="shared" si="13"/>
        <v>Sr. Supply Chain Analyst</v>
      </c>
      <c r="G70" t="str">
        <f t="shared" si="14"/>
        <v>Others</v>
      </c>
      <c r="H70" t="s">
        <v>47</v>
      </c>
      <c r="I70" t="s">
        <v>91</v>
      </c>
      <c r="J70" t="s">
        <v>305</v>
      </c>
      <c r="K70" t="str">
        <f t="shared" si="15"/>
        <v>Food &amp; Beverage</v>
      </c>
      <c r="L70" t="str">
        <f t="shared" si="16"/>
        <v>Others</v>
      </c>
      <c r="M70" t="s">
        <v>50</v>
      </c>
      <c r="N70" t="str">
        <f t="shared" si="17"/>
        <v>R</v>
      </c>
      <c r="O70" t="str">
        <f t="shared" si="18"/>
        <v>R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tr">
        <f t="shared" si="19"/>
        <v>Better Salary</v>
      </c>
      <c r="Y70" t="str">
        <f t="shared" si="20"/>
        <v>Better Salary</v>
      </c>
      <c r="Z70" t="s">
        <v>41</v>
      </c>
      <c r="AA70">
        <v>32</v>
      </c>
      <c r="AB70" t="s">
        <v>42</v>
      </c>
      <c r="AC70" t="str">
        <f t="shared" si="21"/>
        <v>United States</v>
      </c>
      <c r="AD70" t="str">
        <f t="shared" si="22"/>
        <v>United States</v>
      </c>
      <c r="AE70" t="s">
        <v>244</v>
      </c>
      <c r="AF70" t="s">
        <v>52</v>
      </c>
      <c r="AG70" t="str">
        <f t="shared" si="12"/>
        <v>Asian or Asian American</v>
      </c>
      <c r="AH70" t="str">
        <f t="shared" si="23"/>
        <v>Asian or Asian American</v>
      </c>
    </row>
    <row r="71" spans="1:34" x14ac:dyDescent="0.25">
      <c r="A71" t="s">
        <v>306</v>
      </c>
      <c r="B71" t="s">
        <v>30</v>
      </c>
      <c r="C71" t="s">
        <v>307</v>
      </c>
      <c r="D71" t="s">
        <v>308</v>
      </c>
      <c r="E71" t="s">
        <v>127</v>
      </c>
      <c r="F71" t="str">
        <f t="shared" si="13"/>
        <v>Student/Looking/None</v>
      </c>
      <c r="G71" t="str">
        <f t="shared" si="14"/>
        <v>Student/Looking/None</v>
      </c>
      <c r="H71" t="s">
        <v>35</v>
      </c>
      <c r="I71" t="s">
        <v>36</v>
      </c>
      <c r="J71" t="s">
        <v>37</v>
      </c>
      <c r="K71" t="str">
        <f t="shared" si="15"/>
        <v>Healthcare</v>
      </c>
      <c r="L71" t="str">
        <f t="shared" si="16"/>
        <v>Healthcare</v>
      </c>
      <c r="M71" t="s">
        <v>38</v>
      </c>
      <c r="N71" t="str">
        <f t="shared" si="17"/>
        <v>Python</v>
      </c>
      <c r="O71" t="str">
        <f t="shared" si="18"/>
        <v>Python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tr">
        <f t="shared" si="19"/>
        <v>Remote Work</v>
      </c>
      <c r="Y71" t="str">
        <f t="shared" si="20"/>
        <v>Remote Work</v>
      </c>
      <c r="Z71" t="s">
        <v>41</v>
      </c>
      <c r="AA71">
        <v>22</v>
      </c>
      <c r="AB71" t="s">
        <v>151</v>
      </c>
      <c r="AC71" t="str">
        <f t="shared" si="21"/>
        <v>India</v>
      </c>
      <c r="AD71" t="str">
        <f t="shared" si="22"/>
        <v>India</v>
      </c>
      <c r="AE71" t="s">
        <v>241</v>
      </c>
      <c r="AF71" t="s">
        <v>52</v>
      </c>
      <c r="AG71" t="str">
        <f t="shared" si="12"/>
        <v>Asian or Asian American</v>
      </c>
      <c r="AH71" t="str">
        <f t="shared" si="23"/>
        <v>Asian or Asian American</v>
      </c>
    </row>
    <row r="72" spans="1:34" x14ac:dyDescent="0.25">
      <c r="A72" t="s">
        <v>309</v>
      </c>
      <c r="B72" t="s">
        <v>30</v>
      </c>
      <c r="C72" t="s">
        <v>307</v>
      </c>
      <c r="D72" t="s">
        <v>310</v>
      </c>
      <c r="E72" t="s">
        <v>34</v>
      </c>
      <c r="F72" t="str">
        <f t="shared" si="13"/>
        <v>Data Analyst</v>
      </c>
      <c r="G72" t="str">
        <f t="shared" si="14"/>
        <v>Data Analyst</v>
      </c>
      <c r="H72" t="s">
        <v>47</v>
      </c>
      <c r="I72" t="s">
        <v>57</v>
      </c>
      <c r="J72" t="s">
        <v>107</v>
      </c>
      <c r="K72" t="str">
        <f t="shared" si="15"/>
        <v>Tech</v>
      </c>
      <c r="L72" t="str">
        <f t="shared" si="16"/>
        <v>Tech</v>
      </c>
      <c r="M72" t="s">
        <v>38</v>
      </c>
      <c r="N72" t="str">
        <f t="shared" si="17"/>
        <v>Python</v>
      </c>
      <c r="O72" t="str">
        <f t="shared" si="18"/>
        <v>Python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tr">
        <f t="shared" si="19"/>
        <v>Better Salary</v>
      </c>
      <c r="Y72" t="str">
        <f t="shared" si="20"/>
        <v>Better Salary</v>
      </c>
      <c r="Z72" t="s">
        <v>41</v>
      </c>
      <c r="AA72">
        <v>25</v>
      </c>
      <c r="AB72" t="s">
        <v>311</v>
      </c>
      <c r="AC72" t="str">
        <f t="shared" si="21"/>
        <v>Thailand</v>
      </c>
      <c r="AD72" t="str">
        <f t="shared" si="22"/>
        <v>Others</v>
      </c>
      <c r="AE72" t="s">
        <v>241</v>
      </c>
      <c r="AF72" t="s">
        <v>52</v>
      </c>
      <c r="AG72" t="str">
        <f t="shared" si="12"/>
        <v>Asian or Asian American</v>
      </c>
      <c r="AH72" t="str">
        <f t="shared" si="23"/>
        <v>Asian or Asian American</v>
      </c>
    </row>
    <row r="73" spans="1:34" x14ac:dyDescent="0.25">
      <c r="A73" t="s">
        <v>312</v>
      </c>
      <c r="B73" t="s">
        <v>30</v>
      </c>
      <c r="C73" t="s">
        <v>313</v>
      </c>
      <c r="D73" t="s">
        <v>80</v>
      </c>
      <c r="E73" t="s">
        <v>34</v>
      </c>
      <c r="F73" t="str">
        <f t="shared" si="13"/>
        <v>Data Analyst</v>
      </c>
      <c r="G73" t="str">
        <f t="shared" si="14"/>
        <v>Data Analyst</v>
      </c>
      <c r="H73" t="s">
        <v>35</v>
      </c>
      <c r="I73" t="s">
        <v>57</v>
      </c>
      <c r="J73" t="s">
        <v>94</v>
      </c>
      <c r="K73" t="str">
        <f t="shared" si="15"/>
        <v>Telecommunication</v>
      </c>
      <c r="L73" t="str">
        <f t="shared" si="16"/>
        <v>Telecommunication</v>
      </c>
      <c r="M73" t="s">
        <v>38</v>
      </c>
      <c r="N73" t="str">
        <f t="shared" si="17"/>
        <v>Python</v>
      </c>
      <c r="O73" t="str">
        <f t="shared" si="18"/>
        <v>Python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tr">
        <f t="shared" si="19"/>
        <v>Remote Work</v>
      </c>
      <c r="Y73" t="str">
        <f t="shared" si="20"/>
        <v>Remote Work</v>
      </c>
      <c r="Z73" t="s">
        <v>69</v>
      </c>
      <c r="AA73">
        <v>36</v>
      </c>
      <c r="AB73" t="s">
        <v>271</v>
      </c>
      <c r="AC73" t="str">
        <f t="shared" si="21"/>
        <v>Germany</v>
      </c>
      <c r="AD73" t="str">
        <f t="shared" si="22"/>
        <v>Germany</v>
      </c>
      <c r="AE73" t="s">
        <v>244</v>
      </c>
      <c r="AF73" t="s">
        <v>43</v>
      </c>
      <c r="AG73" t="str">
        <f t="shared" si="12"/>
        <v>White or Caucasian</v>
      </c>
      <c r="AH73" t="str">
        <f t="shared" si="23"/>
        <v>White or Caucasian</v>
      </c>
    </row>
    <row r="74" spans="1:34" x14ac:dyDescent="0.25">
      <c r="A74" t="s">
        <v>314</v>
      </c>
      <c r="B74" t="s">
        <v>30</v>
      </c>
      <c r="C74" t="s">
        <v>315</v>
      </c>
      <c r="D74" t="s">
        <v>150</v>
      </c>
      <c r="E74" t="s">
        <v>34</v>
      </c>
      <c r="F74" t="str">
        <f t="shared" si="13"/>
        <v>Data Analyst</v>
      </c>
      <c r="G74" t="str">
        <f t="shared" si="14"/>
        <v>Data Analyst</v>
      </c>
      <c r="H74" t="s">
        <v>35</v>
      </c>
      <c r="I74" t="s">
        <v>36</v>
      </c>
      <c r="J74" t="s">
        <v>107</v>
      </c>
      <c r="K74" t="str">
        <f t="shared" si="15"/>
        <v>Tech</v>
      </c>
      <c r="L74" t="str">
        <f t="shared" si="16"/>
        <v>Tech</v>
      </c>
      <c r="M74" t="s">
        <v>88</v>
      </c>
      <c r="N74" t="str">
        <f t="shared" si="17"/>
        <v>SQL</v>
      </c>
      <c r="O74" t="str">
        <f t="shared" si="18"/>
        <v>SQL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tr">
        <f t="shared" si="19"/>
        <v>Good Work/Life Balance</v>
      </c>
      <c r="Y74" t="str">
        <f t="shared" si="20"/>
        <v>Good Work/Life Balance</v>
      </c>
      <c r="Z74" t="s">
        <v>69</v>
      </c>
      <c r="AA74">
        <v>27</v>
      </c>
      <c r="AB74" t="s">
        <v>42</v>
      </c>
      <c r="AC74" t="str">
        <f t="shared" si="21"/>
        <v>United States</v>
      </c>
      <c r="AD74" t="str">
        <f t="shared" si="22"/>
        <v>United States</v>
      </c>
      <c r="AE74" t="s">
        <v>241</v>
      </c>
      <c r="AF74" t="s">
        <v>43</v>
      </c>
      <c r="AG74" t="str">
        <f t="shared" si="12"/>
        <v>White or Caucasian</v>
      </c>
      <c r="AH74" t="str">
        <f t="shared" si="23"/>
        <v>White or Caucasian</v>
      </c>
    </row>
    <row r="75" spans="1:34" x14ac:dyDescent="0.25">
      <c r="A75" t="s">
        <v>316</v>
      </c>
      <c r="B75" t="s">
        <v>30</v>
      </c>
      <c r="C75" t="s">
        <v>315</v>
      </c>
      <c r="D75" t="s">
        <v>317</v>
      </c>
      <c r="E75" t="s">
        <v>318</v>
      </c>
      <c r="F75" t="str">
        <f t="shared" si="13"/>
        <v>Business analyst</v>
      </c>
      <c r="G75" t="str">
        <f t="shared" si="14"/>
        <v>Business analyst</v>
      </c>
      <c r="H75" t="s">
        <v>35</v>
      </c>
      <c r="I75" t="s">
        <v>57</v>
      </c>
      <c r="J75" t="s">
        <v>107</v>
      </c>
      <c r="K75" t="str">
        <f t="shared" si="15"/>
        <v>Tech</v>
      </c>
      <c r="L75" t="str">
        <f t="shared" si="16"/>
        <v>Tech</v>
      </c>
      <c r="M75" t="s">
        <v>38</v>
      </c>
      <c r="N75" t="str">
        <f t="shared" si="17"/>
        <v>Python</v>
      </c>
      <c r="O75" t="str">
        <f t="shared" si="18"/>
        <v>Python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tr">
        <f t="shared" si="19"/>
        <v>My passion is to become a Data analyst</v>
      </c>
      <c r="Y75" t="str">
        <f t="shared" si="20"/>
        <v>Others</v>
      </c>
      <c r="Z75" t="s">
        <v>41</v>
      </c>
      <c r="AA75">
        <v>23</v>
      </c>
      <c r="AB75" t="s">
        <v>151</v>
      </c>
      <c r="AC75" t="str">
        <f t="shared" si="21"/>
        <v>India</v>
      </c>
      <c r="AD75" t="str">
        <f t="shared" si="22"/>
        <v>India</v>
      </c>
      <c r="AE75" t="s">
        <v>241</v>
      </c>
      <c r="AF75" t="s">
        <v>52</v>
      </c>
      <c r="AG75" t="str">
        <f t="shared" si="12"/>
        <v>Asian or Asian American</v>
      </c>
      <c r="AH75" t="str">
        <f t="shared" si="23"/>
        <v>Asian or Asian American</v>
      </c>
    </row>
    <row r="76" spans="1:34" x14ac:dyDescent="0.25">
      <c r="A76" t="s">
        <v>320</v>
      </c>
      <c r="B76" t="s">
        <v>30</v>
      </c>
      <c r="C76" t="s">
        <v>315</v>
      </c>
      <c r="D76" t="s">
        <v>321</v>
      </c>
      <c r="E76" t="s">
        <v>127</v>
      </c>
      <c r="F76" t="str">
        <f t="shared" si="13"/>
        <v>Student/Looking/None</v>
      </c>
      <c r="G76" t="str">
        <f t="shared" si="14"/>
        <v>Student/Looking/None</v>
      </c>
      <c r="H76" t="s">
        <v>35</v>
      </c>
      <c r="I76" t="s">
        <v>57</v>
      </c>
      <c r="J76" t="s">
        <v>107</v>
      </c>
      <c r="K76" t="str">
        <f t="shared" si="15"/>
        <v>Tech</v>
      </c>
      <c r="L76" t="str">
        <f t="shared" si="16"/>
        <v>Tech</v>
      </c>
      <c r="M76" t="s">
        <v>322</v>
      </c>
      <c r="N76" t="str">
        <f t="shared" si="17"/>
        <v>Sql</v>
      </c>
      <c r="O76" t="str">
        <f t="shared" si="18"/>
        <v>Sql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tr">
        <f t="shared" si="19"/>
        <v>Better Salary</v>
      </c>
      <c r="Y76" t="str">
        <f t="shared" si="20"/>
        <v>Better Salary</v>
      </c>
      <c r="Z76" t="s">
        <v>41</v>
      </c>
      <c r="AA76">
        <v>26</v>
      </c>
      <c r="AB76" t="s">
        <v>323</v>
      </c>
      <c r="AC76" t="str">
        <f t="shared" si="21"/>
        <v>Netherlands</v>
      </c>
      <c r="AD76" t="str">
        <f t="shared" si="22"/>
        <v>Netherlands</v>
      </c>
      <c r="AE76" t="s">
        <v>241</v>
      </c>
      <c r="AF76" t="s">
        <v>62</v>
      </c>
      <c r="AG76" t="str">
        <f t="shared" si="12"/>
        <v>Black or African American</v>
      </c>
      <c r="AH76" t="str">
        <f t="shared" si="23"/>
        <v>Black or African American</v>
      </c>
    </row>
    <row r="77" spans="1:34" x14ac:dyDescent="0.25">
      <c r="A77" t="s">
        <v>324</v>
      </c>
      <c r="B77" t="s">
        <v>30</v>
      </c>
      <c r="C77" t="s">
        <v>325</v>
      </c>
      <c r="D77" t="s">
        <v>326</v>
      </c>
      <c r="E77" t="s">
        <v>327</v>
      </c>
      <c r="F77" t="str">
        <f t="shared" si="13"/>
        <v>Director of Data Analytics</v>
      </c>
      <c r="G77" t="str">
        <f t="shared" si="14"/>
        <v>Others</v>
      </c>
      <c r="H77" t="s">
        <v>47</v>
      </c>
      <c r="I77" t="s">
        <v>91</v>
      </c>
      <c r="J77" t="s">
        <v>37</v>
      </c>
      <c r="K77" t="str">
        <f t="shared" si="15"/>
        <v>Healthcare</v>
      </c>
      <c r="L77" t="str">
        <f t="shared" si="16"/>
        <v>Healthcare</v>
      </c>
      <c r="M77" t="s">
        <v>38</v>
      </c>
      <c r="N77" t="str">
        <f t="shared" si="17"/>
        <v>Python</v>
      </c>
      <c r="O77" t="str">
        <f t="shared" si="18"/>
        <v>Python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tr">
        <f t="shared" si="19"/>
        <v>Good Work/Life Balance</v>
      </c>
      <c r="Y77" t="str">
        <f t="shared" si="20"/>
        <v>Good Work/Life Balance</v>
      </c>
      <c r="Z77" t="s">
        <v>69</v>
      </c>
      <c r="AA77">
        <v>33</v>
      </c>
      <c r="AB77" t="s">
        <v>42</v>
      </c>
      <c r="AC77" t="str">
        <f t="shared" si="21"/>
        <v>United States</v>
      </c>
      <c r="AD77" t="str">
        <f t="shared" si="22"/>
        <v>United States</v>
      </c>
      <c r="AE77" t="s">
        <v>328</v>
      </c>
      <c r="AF77" t="s">
        <v>95</v>
      </c>
      <c r="AG77" t="str">
        <f t="shared" si="12"/>
        <v>Hispanic or Latino</v>
      </c>
      <c r="AH77" t="str">
        <f t="shared" si="23"/>
        <v>Hispanic or Latino</v>
      </c>
    </row>
    <row r="78" spans="1:34" x14ac:dyDescent="0.25">
      <c r="A78" t="s">
        <v>329</v>
      </c>
      <c r="B78" t="s">
        <v>30</v>
      </c>
      <c r="C78" t="s">
        <v>325</v>
      </c>
      <c r="D78" t="s">
        <v>190</v>
      </c>
      <c r="E78" t="s">
        <v>34</v>
      </c>
      <c r="F78" t="str">
        <f t="shared" si="13"/>
        <v>Data Analyst</v>
      </c>
      <c r="G78" t="str">
        <f t="shared" si="14"/>
        <v>Data Analyst</v>
      </c>
      <c r="H78" t="s">
        <v>35</v>
      </c>
      <c r="I78" t="s">
        <v>36</v>
      </c>
      <c r="J78" t="s">
        <v>182</v>
      </c>
      <c r="K78" t="str">
        <f t="shared" si="15"/>
        <v>Automotive</v>
      </c>
      <c r="L78" t="str">
        <f t="shared" si="16"/>
        <v>Others</v>
      </c>
      <c r="M78" t="s">
        <v>38</v>
      </c>
      <c r="N78" t="str">
        <f t="shared" si="17"/>
        <v>Python</v>
      </c>
      <c r="O78" t="str">
        <f t="shared" si="18"/>
        <v>Python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tr">
        <f t="shared" si="19"/>
        <v>Better Salary</v>
      </c>
      <c r="Y78" t="str">
        <f t="shared" si="20"/>
        <v>Better Salary</v>
      </c>
      <c r="Z78" t="s">
        <v>41</v>
      </c>
      <c r="AA78">
        <v>27</v>
      </c>
      <c r="AB78" t="s">
        <v>284</v>
      </c>
      <c r="AC78" t="str">
        <f t="shared" si="21"/>
        <v>Turkey</v>
      </c>
      <c r="AD78" t="str">
        <f t="shared" si="22"/>
        <v>Others</v>
      </c>
      <c r="AE78" t="s">
        <v>244</v>
      </c>
      <c r="AF78" t="s">
        <v>43</v>
      </c>
      <c r="AG78" t="str">
        <f t="shared" si="12"/>
        <v>White or Caucasian</v>
      </c>
      <c r="AH78" t="str">
        <f t="shared" si="23"/>
        <v>White or Caucasian</v>
      </c>
    </row>
    <row r="79" spans="1:34" x14ac:dyDescent="0.25">
      <c r="A79" t="s">
        <v>330</v>
      </c>
      <c r="B79" t="s">
        <v>30</v>
      </c>
      <c r="C79" t="s">
        <v>331</v>
      </c>
      <c r="D79" t="s">
        <v>169</v>
      </c>
      <c r="E79" t="s">
        <v>34</v>
      </c>
      <c r="F79" t="str">
        <f t="shared" si="13"/>
        <v>Data Analyst</v>
      </c>
      <c r="G79" t="str">
        <f t="shared" si="14"/>
        <v>Data Analyst</v>
      </c>
      <c r="H79" t="s">
        <v>35</v>
      </c>
      <c r="I79" t="s">
        <v>48</v>
      </c>
      <c r="J79" t="s">
        <v>112</v>
      </c>
      <c r="K79" t="str">
        <f t="shared" si="15"/>
        <v>Education</v>
      </c>
      <c r="L79" t="str">
        <f t="shared" si="16"/>
        <v>Education</v>
      </c>
      <c r="M79" t="s">
        <v>50</v>
      </c>
      <c r="N79" t="str">
        <f t="shared" si="17"/>
        <v>R</v>
      </c>
      <c r="O79" t="str">
        <f t="shared" si="18"/>
        <v>R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tr">
        <f t="shared" si="19"/>
        <v>Better Salary</v>
      </c>
      <c r="Y79" t="str">
        <f t="shared" si="20"/>
        <v>Better Salary</v>
      </c>
      <c r="Z79" t="s">
        <v>41</v>
      </c>
      <c r="AA79">
        <v>42</v>
      </c>
      <c r="AB79" t="s">
        <v>42</v>
      </c>
      <c r="AC79" t="str">
        <f t="shared" si="21"/>
        <v>United States</v>
      </c>
      <c r="AD79" t="str">
        <f t="shared" si="22"/>
        <v>United States</v>
      </c>
      <c r="AE79" t="s">
        <v>266</v>
      </c>
      <c r="AF79" t="s">
        <v>43</v>
      </c>
      <c r="AG79" t="str">
        <f t="shared" si="12"/>
        <v>White or Caucasian</v>
      </c>
      <c r="AH79" t="str">
        <f t="shared" si="23"/>
        <v>White or Caucasian</v>
      </c>
    </row>
    <row r="80" spans="1:34" x14ac:dyDescent="0.25">
      <c r="A80" t="s">
        <v>332</v>
      </c>
      <c r="B80" t="s">
        <v>30</v>
      </c>
      <c r="C80" t="s">
        <v>331</v>
      </c>
      <c r="D80" t="s">
        <v>303</v>
      </c>
      <c r="E80" t="s">
        <v>34</v>
      </c>
      <c r="F80" t="str">
        <f t="shared" si="13"/>
        <v>Data Analyst</v>
      </c>
      <c r="G80" t="str">
        <f t="shared" si="14"/>
        <v>Data Analyst</v>
      </c>
      <c r="H80" t="s">
        <v>35</v>
      </c>
      <c r="I80" t="s">
        <v>57</v>
      </c>
      <c r="J80" t="s">
        <v>107</v>
      </c>
      <c r="K80" t="str">
        <f t="shared" si="15"/>
        <v>Tech</v>
      </c>
      <c r="L80" t="str">
        <f t="shared" si="16"/>
        <v>Tech</v>
      </c>
      <c r="M80" t="s">
        <v>38</v>
      </c>
      <c r="N80" t="str">
        <f t="shared" si="17"/>
        <v>Python</v>
      </c>
      <c r="O80" t="str">
        <f t="shared" si="18"/>
        <v>Python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tr">
        <f t="shared" si="19"/>
        <v>Good Work/Life Balance</v>
      </c>
      <c r="Y80" t="str">
        <f t="shared" si="20"/>
        <v>Good Work/Life Balance</v>
      </c>
      <c r="Z80" t="s">
        <v>41</v>
      </c>
      <c r="AA80">
        <v>29</v>
      </c>
      <c r="AB80" t="s">
        <v>211</v>
      </c>
      <c r="AC80" t="str">
        <f t="shared" si="21"/>
        <v>Spain</v>
      </c>
      <c r="AD80" t="str">
        <f t="shared" si="22"/>
        <v>Spain</v>
      </c>
      <c r="AE80" t="s">
        <v>244</v>
      </c>
      <c r="AF80" t="s">
        <v>43</v>
      </c>
      <c r="AG80" t="str">
        <f t="shared" si="12"/>
        <v>White or Caucasian</v>
      </c>
      <c r="AH80" t="str">
        <f t="shared" si="23"/>
        <v>White or Caucasian</v>
      </c>
    </row>
    <row r="81" spans="1:34" x14ac:dyDescent="0.25">
      <c r="A81" t="s">
        <v>333</v>
      </c>
      <c r="B81" t="s">
        <v>30</v>
      </c>
      <c r="C81" t="s">
        <v>334</v>
      </c>
      <c r="D81" t="s">
        <v>335</v>
      </c>
      <c r="E81" t="s">
        <v>34</v>
      </c>
      <c r="F81" t="str">
        <f t="shared" si="13"/>
        <v>Data Analyst</v>
      </c>
      <c r="G81" t="str">
        <f t="shared" si="14"/>
        <v>Data Analyst</v>
      </c>
      <c r="H81" t="s">
        <v>47</v>
      </c>
      <c r="I81" t="s">
        <v>86</v>
      </c>
      <c r="J81" t="s">
        <v>107</v>
      </c>
      <c r="K81" t="str">
        <f t="shared" si="15"/>
        <v>Tech</v>
      </c>
      <c r="L81" t="str">
        <f t="shared" si="16"/>
        <v>Tech</v>
      </c>
      <c r="M81" t="s">
        <v>38</v>
      </c>
      <c r="N81" t="str">
        <f t="shared" si="17"/>
        <v>Python</v>
      </c>
      <c r="O81" t="str">
        <f t="shared" si="18"/>
        <v>Python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tr">
        <f t="shared" si="19"/>
        <v>Better Salary</v>
      </c>
      <c r="Y81" t="str">
        <f t="shared" si="20"/>
        <v>Better Salary</v>
      </c>
      <c r="Z81" t="s">
        <v>69</v>
      </c>
      <c r="AA81">
        <v>27</v>
      </c>
      <c r="AB81" t="s">
        <v>42</v>
      </c>
      <c r="AC81" t="str">
        <f t="shared" si="21"/>
        <v>United States</v>
      </c>
      <c r="AD81" t="str">
        <f t="shared" si="22"/>
        <v>United States</v>
      </c>
      <c r="AE81" t="s">
        <v>244</v>
      </c>
      <c r="AF81" t="s">
        <v>52</v>
      </c>
      <c r="AG81" t="str">
        <f t="shared" si="12"/>
        <v>Asian or Asian American</v>
      </c>
      <c r="AH81" t="str">
        <f t="shared" si="23"/>
        <v>Asian or Asian American</v>
      </c>
    </row>
    <row r="82" spans="1:34" x14ac:dyDescent="0.25">
      <c r="A82" t="s">
        <v>336</v>
      </c>
      <c r="B82" t="s">
        <v>30</v>
      </c>
      <c r="C82" t="s">
        <v>334</v>
      </c>
      <c r="D82" t="s">
        <v>337</v>
      </c>
      <c r="E82" t="s">
        <v>127</v>
      </c>
      <c r="F82" t="str">
        <f t="shared" si="13"/>
        <v>Student/Looking/None</v>
      </c>
      <c r="G82" t="str">
        <f t="shared" si="14"/>
        <v>Student/Looking/None</v>
      </c>
      <c r="H82" t="s">
        <v>47</v>
      </c>
      <c r="I82" t="s">
        <v>48</v>
      </c>
      <c r="J82" t="s">
        <v>37</v>
      </c>
      <c r="K82" t="str">
        <f t="shared" si="15"/>
        <v>Healthcare</v>
      </c>
      <c r="L82" t="str">
        <f t="shared" si="16"/>
        <v>Healthcare</v>
      </c>
      <c r="M82" t="s">
        <v>38</v>
      </c>
      <c r="N82" t="str">
        <f t="shared" si="17"/>
        <v>Python</v>
      </c>
      <c r="O82" t="str">
        <f t="shared" si="18"/>
        <v>Python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tr">
        <f t="shared" si="19"/>
        <v>Remote Work</v>
      </c>
      <c r="Y82" t="str">
        <f t="shared" si="20"/>
        <v>Remote Work</v>
      </c>
      <c r="Z82" t="s">
        <v>69</v>
      </c>
      <c r="AA82">
        <v>39</v>
      </c>
      <c r="AB82" t="s">
        <v>42</v>
      </c>
      <c r="AC82" t="str">
        <f t="shared" si="21"/>
        <v>United States</v>
      </c>
      <c r="AD82" t="str">
        <f t="shared" si="22"/>
        <v>United States</v>
      </c>
      <c r="AE82" t="s">
        <v>241</v>
      </c>
      <c r="AF82" t="s">
        <v>95</v>
      </c>
      <c r="AG82" t="str">
        <f t="shared" si="12"/>
        <v>Hispanic or Latino</v>
      </c>
      <c r="AH82" t="str">
        <f t="shared" si="23"/>
        <v>Hispanic or Latino</v>
      </c>
    </row>
    <row r="83" spans="1:34" x14ac:dyDescent="0.25">
      <c r="A83" t="s">
        <v>338</v>
      </c>
      <c r="B83" t="s">
        <v>30</v>
      </c>
      <c r="C83" t="s">
        <v>339</v>
      </c>
      <c r="D83" t="s">
        <v>340</v>
      </c>
      <c r="E83" t="s">
        <v>34</v>
      </c>
      <c r="F83" t="str">
        <f t="shared" si="13"/>
        <v>Data Analyst</v>
      </c>
      <c r="G83" t="str">
        <f t="shared" si="14"/>
        <v>Data Analyst</v>
      </c>
      <c r="H83" t="s">
        <v>35</v>
      </c>
      <c r="I83" t="s">
        <v>48</v>
      </c>
      <c r="J83" t="s">
        <v>94</v>
      </c>
      <c r="K83" t="str">
        <f t="shared" si="15"/>
        <v>Telecommunication</v>
      </c>
      <c r="L83" t="str">
        <f t="shared" si="16"/>
        <v>Telecommunication</v>
      </c>
      <c r="M83" t="s">
        <v>38</v>
      </c>
      <c r="N83" t="str">
        <f t="shared" si="17"/>
        <v>Python</v>
      </c>
      <c r="O83" t="str">
        <f t="shared" si="18"/>
        <v>Python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tr">
        <f t="shared" si="19"/>
        <v>Good Culture</v>
      </c>
      <c r="Y83" t="str">
        <f t="shared" si="20"/>
        <v>Good Culture</v>
      </c>
      <c r="Z83" t="s">
        <v>41</v>
      </c>
      <c r="AA83">
        <v>31</v>
      </c>
      <c r="AB83" t="s">
        <v>341</v>
      </c>
      <c r="AC83" t="str">
        <f t="shared" si="21"/>
        <v>Denmark</v>
      </c>
      <c r="AD83" t="str">
        <f t="shared" si="22"/>
        <v>Others</v>
      </c>
      <c r="AE83" t="s">
        <v>244</v>
      </c>
      <c r="AF83" t="s">
        <v>43</v>
      </c>
      <c r="AG83" t="str">
        <f t="shared" si="12"/>
        <v>White or Caucasian</v>
      </c>
      <c r="AH83" t="str">
        <f t="shared" si="23"/>
        <v>White or Caucasian</v>
      </c>
    </row>
    <row r="84" spans="1:34" x14ac:dyDescent="0.25">
      <c r="A84" t="s">
        <v>342</v>
      </c>
      <c r="B84" t="s">
        <v>30</v>
      </c>
      <c r="C84" t="s">
        <v>339</v>
      </c>
      <c r="D84" t="s">
        <v>343</v>
      </c>
      <c r="E84" t="s">
        <v>34</v>
      </c>
      <c r="F84" t="str">
        <f t="shared" si="13"/>
        <v>Data Analyst</v>
      </c>
      <c r="G84" t="str">
        <f t="shared" si="14"/>
        <v>Data Analyst</v>
      </c>
      <c r="H84" t="s">
        <v>35</v>
      </c>
      <c r="I84" t="s">
        <v>98</v>
      </c>
      <c r="J84" t="s">
        <v>344</v>
      </c>
      <c r="K84" t="str">
        <f t="shared" si="15"/>
        <v>Marketing</v>
      </c>
      <c r="L84" t="str">
        <f t="shared" si="16"/>
        <v>Others</v>
      </c>
      <c r="M84" t="s">
        <v>38</v>
      </c>
      <c r="N84" t="str">
        <f t="shared" si="17"/>
        <v>Python</v>
      </c>
      <c r="O84" t="str">
        <f t="shared" si="18"/>
        <v>Python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tr">
        <f t="shared" si="19"/>
        <v>Good Work/Life Balance</v>
      </c>
      <c r="Y84" t="str">
        <f t="shared" si="20"/>
        <v>Good Work/Life Balance</v>
      </c>
      <c r="Z84" t="s">
        <v>41</v>
      </c>
      <c r="AA84">
        <v>29</v>
      </c>
      <c r="AB84" t="s">
        <v>345</v>
      </c>
      <c r="AC84" t="str">
        <f t="shared" si="21"/>
        <v>Brazil</v>
      </c>
      <c r="AD84" t="str">
        <f t="shared" si="22"/>
        <v>Others</v>
      </c>
      <c r="AE84" t="s">
        <v>241</v>
      </c>
      <c r="AF84" t="s">
        <v>95</v>
      </c>
      <c r="AG84" t="str">
        <f t="shared" si="12"/>
        <v>Hispanic or Latino</v>
      </c>
      <c r="AH84" t="str">
        <f t="shared" si="23"/>
        <v>Hispanic or Latino</v>
      </c>
    </row>
    <row r="85" spans="1:34" x14ac:dyDescent="0.25">
      <c r="A85" t="s">
        <v>346</v>
      </c>
      <c r="B85" t="s">
        <v>30</v>
      </c>
      <c r="C85" t="s">
        <v>347</v>
      </c>
      <c r="D85" t="s">
        <v>348</v>
      </c>
      <c r="E85" t="s">
        <v>34</v>
      </c>
      <c r="F85" t="str">
        <f t="shared" si="13"/>
        <v>Data Analyst</v>
      </c>
      <c r="G85" t="str">
        <f t="shared" si="14"/>
        <v>Data Analyst</v>
      </c>
      <c r="H85" t="s">
        <v>35</v>
      </c>
      <c r="I85" t="s">
        <v>98</v>
      </c>
      <c r="J85" t="s">
        <v>112</v>
      </c>
      <c r="K85" t="str">
        <f t="shared" si="15"/>
        <v>Education</v>
      </c>
      <c r="L85" t="str">
        <f t="shared" si="16"/>
        <v>Education</v>
      </c>
      <c r="M85" t="s">
        <v>50</v>
      </c>
      <c r="N85" t="str">
        <f t="shared" si="17"/>
        <v>R</v>
      </c>
      <c r="O85" t="str">
        <f t="shared" si="18"/>
        <v>R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tr">
        <f t="shared" si="19"/>
        <v>Remote Work</v>
      </c>
      <c r="Y85" t="str">
        <f t="shared" si="20"/>
        <v>Remote Work</v>
      </c>
      <c r="Z85" t="s">
        <v>41</v>
      </c>
      <c r="AA85">
        <v>31</v>
      </c>
      <c r="AB85" t="s">
        <v>42</v>
      </c>
      <c r="AC85" t="str">
        <f t="shared" si="21"/>
        <v>United States</v>
      </c>
      <c r="AD85" t="str">
        <f t="shared" si="22"/>
        <v>United States</v>
      </c>
      <c r="AE85" t="s">
        <v>244</v>
      </c>
      <c r="AF85" t="s">
        <v>43</v>
      </c>
      <c r="AG85" t="str">
        <f t="shared" si="12"/>
        <v>White or Caucasian</v>
      </c>
      <c r="AH85" t="str">
        <f t="shared" si="23"/>
        <v>White or Caucasian</v>
      </c>
    </row>
    <row r="86" spans="1:34" x14ac:dyDescent="0.25">
      <c r="A86" t="s">
        <v>349</v>
      </c>
      <c r="B86" t="s">
        <v>30</v>
      </c>
      <c r="C86" t="s">
        <v>350</v>
      </c>
      <c r="D86" t="s">
        <v>46</v>
      </c>
      <c r="E86" t="s">
        <v>34</v>
      </c>
      <c r="F86" t="str">
        <f t="shared" si="13"/>
        <v>Data Analyst</v>
      </c>
      <c r="G86" t="str">
        <f t="shared" si="14"/>
        <v>Data Analyst</v>
      </c>
      <c r="H86" t="s">
        <v>35</v>
      </c>
      <c r="I86" t="s">
        <v>57</v>
      </c>
      <c r="J86" t="s">
        <v>49</v>
      </c>
      <c r="K86" t="str">
        <f t="shared" si="15"/>
        <v>Finance</v>
      </c>
      <c r="L86" t="str">
        <f t="shared" si="16"/>
        <v>Finance</v>
      </c>
      <c r="M86" t="s">
        <v>38</v>
      </c>
      <c r="N86" t="str">
        <f t="shared" si="17"/>
        <v>Python</v>
      </c>
      <c r="O86" t="str">
        <f t="shared" si="18"/>
        <v>Python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tr">
        <f t="shared" si="19"/>
        <v>Good Culture</v>
      </c>
      <c r="Y86" t="str">
        <f t="shared" si="20"/>
        <v>Good Culture</v>
      </c>
      <c r="Z86" t="s">
        <v>41</v>
      </c>
      <c r="AA86">
        <v>30</v>
      </c>
      <c r="AB86" t="s">
        <v>351</v>
      </c>
      <c r="AC86" t="str">
        <f t="shared" si="21"/>
        <v>Mexico</v>
      </c>
      <c r="AD86" t="str">
        <f t="shared" si="22"/>
        <v>Mexico</v>
      </c>
      <c r="AE86" t="s">
        <v>244</v>
      </c>
      <c r="AF86" t="s">
        <v>95</v>
      </c>
      <c r="AG86" t="str">
        <f t="shared" si="12"/>
        <v>Hispanic or Latino</v>
      </c>
      <c r="AH86" t="str">
        <f t="shared" si="23"/>
        <v>Hispanic or Latino</v>
      </c>
    </row>
    <row r="87" spans="1:34" x14ac:dyDescent="0.25">
      <c r="A87" t="s">
        <v>352</v>
      </c>
      <c r="B87" t="s">
        <v>30</v>
      </c>
      <c r="C87" t="s">
        <v>350</v>
      </c>
      <c r="D87" t="s">
        <v>353</v>
      </c>
      <c r="E87" t="s">
        <v>56</v>
      </c>
      <c r="F87" t="str">
        <f t="shared" si="13"/>
        <v>Data Engineer</v>
      </c>
      <c r="G87" t="str">
        <f t="shared" si="14"/>
        <v>Data Engineer</v>
      </c>
      <c r="H87" t="s">
        <v>35</v>
      </c>
      <c r="I87" t="s">
        <v>57</v>
      </c>
      <c r="J87" t="s">
        <v>107</v>
      </c>
      <c r="K87" t="str">
        <f t="shared" si="15"/>
        <v>Tech</v>
      </c>
      <c r="L87" t="str">
        <f t="shared" si="16"/>
        <v>Tech</v>
      </c>
      <c r="M87" t="s">
        <v>38</v>
      </c>
      <c r="N87" t="str">
        <f t="shared" si="17"/>
        <v>Python</v>
      </c>
      <c r="O87" t="str">
        <f t="shared" si="18"/>
        <v>Python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tr">
        <f t="shared" si="19"/>
        <v>Better Salary</v>
      </c>
      <c r="Y87" t="str">
        <f t="shared" si="20"/>
        <v>Better Salary</v>
      </c>
      <c r="Z87" t="s">
        <v>41</v>
      </c>
      <c r="AA87">
        <v>33</v>
      </c>
      <c r="AB87" t="s">
        <v>351</v>
      </c>
      <c r="AC87" t="str">
        <f t="shared" si="21"/>
        <v>Mexico</v>
      </c>
      <c r="AD87" t="str">
        <f t="shared" si="22"/>
        <v>Mexico</v>
      </c>
      <c r="AE87" t="s">
        <v>244</v>
      </c>
      <c r="AF87" t="s">
        <v>95</v>
      </c>
      <c r="AG87" t="str">
        <f t="shared" si="12"/>
        <v>Hispanic or Latino</v>
      </c>
      <c r="AH87" t="str">
        <f t="shared" si="23"/>
        <v>Hispanic or Latino</v>
      </c>
    </row>
    <row r="88" spans="1:34" x14ac:dyDescent="0.25">
      <c r="A88" t="s">
        <v>354</v>
      </c>
      <c r="B88" t="s">
        <v>30</v>
      </c>
      <c r="C88" t="s">
        <v>355</v>
      </c>
      <c r="D88" t="s">
        <v>356</v>
      </c>
      <c r="E88" t="s">
        <v>34</v>
      </c>
      <c r="F88" t="str">
        <f t="shared" si="13"/>
        <v>Data Analyst</v>
      </c>
      <c r="G88" t="str">
        <f t="shared" si="14"/>
        <v>Data Analyst</v>
      </c>
      <c r="H88" t="s">
        <v>47</v>
      </c>
      <c r="I88" t="s">
        <v>98</v>
      </c>
      <c r="J88" t="s">
        <v>87</v>
      </c>
      <c r="K88" t="str">
        <f t="shared" si="15"/>
        <v>Retail</v>
      </c>
      <c r="L88" t="str">
        <f t="shared" si="16"/>
        <v>Retail</v>
      </c>
      <c r="M88" t="s">
        <v>38</v>
      </c>
      <c r="N88" t="str">
        <f t="shared" si="17"/>
        <v>Python</v>
      </c>
      <c r="O88" t="str">
        <f t="shared" si="18"/>
        <v>Python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tr">
        <f t="shared" si="19"/>
        <v>Better Salary</v>
      </c>
      <c r="Y88" t="str">
        <f t="shared" si="20"/>
        <v>Better Salary</v>
      </c>
      <c r="Z88" t="s">
        <v>41</v>
      </c>
      <c r="AA88">
        <v>25</v>
      </c>
      <c r="AB88" t="s">
        <v>42</v>
      </c>
      <c r="AC88" t="str">
        <f t="shared" si="21"/>
        <v>United States</v>
      </c>
      <c r="AD88" t="str">
        <f t="shared" si="22"/>
        <v>United States</v>
      </c>
      <c r="AE88" t="s">
        <v>241</v>
      </c>
      <c r="AF88" t="s">
        <v>43</v>
      </c>
      <c r="AG88" t="str">
        <f t="shared" si="12"/>
        <v>White or Caucasian</v>
      </c>
      <c r="AH88" t="str">
        <f t="shared" si="23"/>
        <v>White or Caucasian</v>
      </c>
    </row>
    <row r="89" spans="1:34" x14ac:dyDescent="0.25">
      <c r="A89" t="s">
        <v>357</v>
      </c>
      <c r="B89" t="s">
        <v>30</v>
      </c>
      <c r="C89" t="s">
        <v>355</v>
      </c>
      <c r="D89" t="s">
        <v>279</v>
      </c>
      <c r="E89" t="s">
        <v>127</v>
      </c>
      <c r="F89" t="str">
        <f t="shared" si="13"/>
        <v>Student/Looking/None</v>
      </c>
      <c r="G89" t="str">
        <f t="shared" si="14"/>
        <v>Student/Looking/None</v>
      </c>
      <c r="H89" t="s">
        <v>47</v>
      </c>
      <c r="I89" t="s">
        <v>57</v>
      </c>
      <c r="J89" t="s">
        <v>107</v>
      </c>
      <c r="K89" t="str">
        <f t="shared" si="15"/>
        <v>Tech</v>
      </c>
      <c r="L89" t="str">
        <f t="shared" si="16"/>
        <v>Tech</v>
      </c>
      <c r="M89" t="s">
        <v>50</v>
      </c>
      <c r="N89" t="str">
        <f t="shared" si="17"/>
        <v>R</v>
      </c>
      <c r="O89" t="str">
        <f t="shared" si="18"/>
        <v>R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tr">
        <f t="shared" si="19"/>
        <v>Good Work/Life Balance</v>
      </c>
      <c r="Y89" t="str">
        <f t="shared" si="20"/>
        <v>Good Work/Life Balance</v>
      </c>
      <c r="Z89" t="s">
        <v>41</v>
      </c>
      <c r="AA89">
        <v>23</v>
      </c>
      <c r="AB89" t="s">
        <v>151</v>
      </c>
      <c r="AC89" t="str">
        <f t="shared" si="21"/>
        <v>India</v>
      </c>
      <c r="AD89" t="str">
        <f t="shared" si="22"/>
        <v>India</v>
      </c>
      <c r="AE89" t="s">
        <v>241</v>
      </c>
      <c r="AF89" t="s">
        <v>204</v>
      </c>
      <c r="AG89" t="str">
        <f t="shared" si="12"/>
        <v>Indian</v>
      </c>
      <c r="AH89" t="str">
        <f t="shared" si="23"/>
        <v>Indian</v>
      </c>
    </row>
    <row r="90" spans="1:34" x14ac:dyDescent="0.25">
      <c r="A90" t="s">
        <v>358</v>
      </c>
      <c r="B90" t="s">
        <v>30</v>
      </c>
      <c r="C90" t="s">
        <v>355</v>
      </c>
      <c r="D90" t="s">
        <v>72</v>
      </c>
      <c r="E90" t="s">
        <v>34</v>
      </c>
      <c r="F90" t="str">
        <f t="shared" si="13"/>
        <v>Data Analyst</v>
      </c>
      <c r="G90" t="str">
        <f t="shared" si="14"/>
        <v>Data Analyst</v>
      </c>
      <c r="H90" t="s">
        <v>35</v>
      </c>
      <c r="I90" t="s">
        <v>48</v>
      </c>
      <c r="J90" t="s">
        <v>359</v>
      </c>
      <c r="K90" t="str">
        <f t="shared" si="15"/>
        <v>Advertising</v>
      </c>
      <c r="L90" t="str">
        <f t="shared" si="16"/>
        <v>Others</v>
      </c>
      <c r="M90" t="s">
        <v>360</v>
      </c>
      <c r="N90" t="str">
        <f t="shared" si="17"/>
        <v>Dont require</v>
      </c>
      <c r="O90" t="str">
        <f t="shared" si="18"/>
        <v>Others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tr">
        <f t="shared" si="19"/>
        <v>Better Salary</v>
      </c>
      <c r="Y90" t="str">
        <f t="shared" si="20"/>
        <v>Better Salary</v>
      </c>
      <c r="Z90" t="s">
        <v>41</v>
      </c>
      <c r="AA90">
        <v>33</v>
      </c>
      <c r="AB90" t="s">
        <v>42</v>
      </c>
      <c r="AC90" t="str">
        <f t="shared" si="21"/>
        <v>United States</v>
      </c>
      <c r="AD90" t="str">
        <f t="shared" si="22"/>
        <v>United States</v>
      </c>
      <c r="AE90" t="s">
        <v>241</v>
      </c>
      <c r="AF90" t="s">
        <v>52</v>
      </c>
      <c r="AG90" t="str">
        <f t="shared" si="12"/>
        <v>Asian or Asian American</v>
      </c>
      <c r="AH90" t="str">
        <f t="shared" si="23"/>
        <v>Asian or Asian American</v>
      </c>
    </row>
    <row r="91" spans="1:34" x14ac:dyDescent="0.25">
      <c r="A91" t="s">
        <v>361</v>
      </c>
      <c r="B91" t="s">
        <v>30</v>
      </c>
      <c r="C91" t="s">
        <v>355</v>
      </c>
      <c r="D91" t="s">
        <v>362</v>
      </c>
      <c r="E91" t="s">
        <v>270</v>
      </c>
      <c r="F91" t="str">
        <f t="shared" si="13"/>
        <v>Business Analyst</v>
      </c>
      <c r="G91" t="str">
        <f t="shared" si="14"/>
        <v>Business Analyst</v>
      </c>
      <c r="H91" t="s">
        <v>35</v>
      </c>
      <c r="I91" t="s">
        <v>98</v>
      </c>
      <c r="J91" t="s">
        <v>99</v>
      </c>
      <c r="K91" t="str">
        <f t="shared" si="15"/>
        <v>Logistics</v>
      </c>
      <c r="L91" t="str">
        <f t="shared" si="16"/>
        <v>Others</v>
      </c>
      <c r="M91" t="s">
        <v>38</v>
      </c>
      <c r="N91" t="str">
        <f t="shared" si="17"/>
        <v>Python</v>
      </c>
      <c r="O91" t="str">
        <f t="shared" si="18"/>
        <v>Python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tr">
        <f t="shared" si="19"/>
        <v>Good Work/Life Balance</v>
      </c>
      <c r="Y91" t="str">
        <f t="shared" si="20"/>
        <v>Good Work/Life Balance</v>
      </c>
      <c r="Z91" t="s">
        <v>41</v>
      </c>
      <c r="AA91">
        <v>35</v>
      </c>
      <c r="AB91" t="s">
        <v>363</v>
      </c>
      <c r="AC91" t="str">
        <f t="shared" si="21"/>
        <v>Chile</v>
      </c>
      <c r="AD91" t="str">
        <f t="shared" si="22"/>
        <v>Others</v>
      </c>
      <c r="AE91" t="s">
        <v>241</v>
      </c>
      <c r="AF91" t="s">
        <v>95</v>
      </c>
      <c r="AG91" t="str">
        <f t="shared" si="12"/>
        <v>Hispanic or Latino</v>
      </c>
      <c r="AH91" t="str">
        <f t="shared" si="23"/>
        <v>Hispanic or Latino</v>
      </c>
    </row>
    <row r="92" spans="1:34" x14ac:dyDescent="0.25">
      <c r="A92" t="s">
        <v>364</v>
      </c>
      <c r="B92" t="s">
        <v>30</v>
      </c>
      <c r="C92" t="s">
        <v>355</v>
      </c>
      <c r="D92" t="s">
        <v>214</v>
      </c>
      <c r="E92" t="s">
        <v>34</v>
      </c>
      <c r="F92" t="str">
        <f t="shared" si="13"/>
        <v>Data Analyst</v>
      </c>
      <c r="G92" t="str">
        <f t="shared" si="14"/>
        <v>Data Analyst</v>
      </c>
      <c r="H92" t="s">
        <v>47</v>
      </c>
      <c r="I92" t="s">
        <v>48</v>
      </c>
      <c r="J92" t="s">
        <v>365</v>
      </c>
      <c r="K92" t="str">
        <f t="shared" si="15"/>
        <v>Staffing and Recruting</v>
      </c>
      <c r="L92" t="str">
        <f t="shared" si="16"/>
        <v>Others</v>
      </c>
      <c r="M92" t="s">
        <v>38</v>
      </c>
      <c r="N92" t="str">
        <f t="shared" si="17"/>
        <v>Python</v>
      </c>
      <c r="O92" t="str">
        <f t="shared" si="18"/>
        <v>Python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tr">
        <f t="shared" si="19"/>
        <v>Remote Work</v>
      </c>
      <c r="Y92" t="str">
        <f t="shared" si="20"/>
        <v>Remote Work</v>
      </c>
      <c r="Z92" t="s">
        <v>69</v>
      </c>
      <c r="AA92">
        <v>42</v>
      </c>
      <c r="AB92" t="s">
        <v>187</v>
      </c>
      <c r="AC92" t="str">
        <f t="shared" si="21"/>
        <v>Greece</v>
      </c>
      <c r="AD92" t="str">
        <f t="shared" si="22"/>
        <v>Others</v>
      </c>
      <c r="AE92" t="s">
        <v>244</v>
      </c>
      <c r="AF92" t="s">
        <v>43</v>
      </c>
      <c r="AG92" t="str">
        <f t="shared" si="12"/>
        <v>White or Caucasian</v>
      </c>
      <c r="AH92" t="str">
        <f t="shared" si="23"/>
        <v>White or Caucasian</v>
      </c>
    </row>
    <row r="93" spans="1:34" x14ac:dyDescent="0.25">
      <c r="A93" t="s">
        <v>366</v>
      </c>
      <c r="B93" t="s">
        <v>30</v>
      </c>
      <c r="C93" t="s">
        <v>367</v>
      </c>
      <c r="D93" t="s">
        <v>368</v>
      </c>
      <c r="E93" t="s">
        <v>34</v>
      </c>
      <c r="F93" t="str">
        <f t="shared" si="13"/>
        <v>Data Analyst</v>
      </c>
      <c r="G93" t="str">
        <f t="shared" si="14"/>
        <v>Data Analyst</v>
      </c>
      <c r="H93" t="s">
        <v>47</v>
      </c>
      <c r="I93" t="s">
        <v>98</v>
      </c>
      <c r="J93" t="s">
        <v>107</v>
      </c>
      <c r="K93" t="str">
        <f t="shared" si="15"/>
        <v>Tech</v>
      </c>
      <c r="L93" t="str">
        <f t="shared" si="16"/>
        <v>Tech</v>
      </c>
      <c r="M93" t="s">
        <v>38</v>
      </c>
      <c r="N93" t="str">
        <f t="shared" si="17"/>
        <v>Python</v>
      </c>
      <c r="O93" t="str">
        <f t="shared" si="18"/>
        <v>Python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tr">
        <f t="shared" si="19"/>
        <v>Better Salary</v>
      </c>
      <c r="Y93" t="str">
        <f t="shared" si="20"/>
        <v>Better Salary</v>
      </c>
      <c r="Z93" t="s">
        <v>41</v>
      </c>
      <c r="AA93">
        <v>25</v>
      </c>
      <c r="AB93" t="s">
        <v>42</v>
      </c>
      <c r="AC93" t="str">
        <f t="shared" si="21"/>
        <v>United States</v>
      </c>
      <c r="AD93" t="str">
        <f t="shared" si="22"/>
        <v>United States</v>
      </c>
      <c r="AE93" t="s">
        <v>241</v>
      </c>
      <c r="AF93" t="s">
        <v>43</v>
      </c>
      <c r="AG93" t="str">
        <f t="shared" si="12"/>
        <v>White or Caucasian</v>
      </c>
      <c r="AH93" t="str">
        <f t="shared" si="23"/>
        <v>White or Caucasian</v>
      </c>
    </row>
    <row r="94" spans="1:34" x14ac:dyDescent="0.25">
      <c r="A94" t="s">
        <v>369</v>
      </c>
      <c r="B94" t="s">
        <v>30</v>
      </c>
      <c r="C94" t="s">
        <v>370</v>
      </c>
      <c r="D94" t="s">
        <v>371</v>
      </c>
      <c r="E94" t="s">
        <v>34</v>
      </c>
      <c r="F94" t="str">
        <f t="shared" si="13"/>
        <v>Data Analyst</v>
      </c>
      <c r="G94" t="str">
        <f t="shared" si="14"/>
        <v>Data Analyst</v>
      </c>
      <c r="H94" t="s">
        <v>47</v>
      </c>
      <c r="I94" t="s">
        <v>91</v>
      </c>
      <c r="J94" t="s">
        <v>182</v>
      </c>
      <c r="K94" t="str">
        <f t="shared" si="15"/>
        <v>Automotive</v>
      </c>
      <c r="L94" t="str">
        <f t="shared" si="16"/>
        <v>Others</v>
      </c>
      <c r="M94" t="s">
        <v>38</v>
      </c>
      <c r="N94" t="str">
        <f t="shared" si="17"/>
        <v>Python</v>
      </c>
      <c r="O94" t="str">
        <f t="shared" si="18"/>
        <v>Python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tr">
        <f t="shared" si="19"/>
        <v>Different job title, either product owner or consulting</v>
      </c>
      <c r="Y94" t="str">
        <f t="shared" si="20"/>
        <v>Others</v>
      </c>
      <c r="Z94" t="s">
        <v>41</v>
      </c>
      <c r="AA94">
        <v>23</v>
      </c>
      <c r="AB94" t="s">
        <v>42</v>
      </c>
      <c r="AC94" t="str">
        <f t="shared" si="21"/>
        <v>United States</v>
      </c>
      <c r="AD94" t="str">
        <f t="shared" si="22"/>
        <v>United States</v>
      </c>
      <c r="AE94" t="s">
        <v>241</v>
      </c>
      <c r="AF94" t="s">
        <v>43</v>
      </c>
      <c r="AG94" t="str">
        <f t="shared" si="12"/>
        <v>White or Caucasian</v>
      </c>
      <c r="AH94" t="str">
        <f t="shared" si="23"/>
        <v>White or Caucasian</v>
      </c>
    </row>
    <row r="95" spans="1:34" x14ac:dyDescent="0.25">
      <c r="A95" t="s">
        <v>373</v>
      </c>
      <c r="B95" t="s">
        <v>30</v>
      </c>
      <c r="C95" t="s">
        <v>374</v>
      </c>
      <c r="D95" t="s">
        <v>375</v>
      </c>
      <c r="E95" t="s">
        <v>376</v>
      </c>
      <c r="F95" t="str">
        <f t="shared" si="13"/>
        <v>Learning Management Specialist</v>
      </c>
      <c r="G95" t="str">
        <f t="shared" si="14"/>
        <v>Others</v>
      </c>
      <c r="H95" t="s">
        <v>47</v>
      </c>
      <c r="I95" t="s">
        <v>48</v>
      </c>
      <c r="J95" t="s">
        <v>37</v>
      </c>
      <c r="K95" t="str">
        <f t="shared" si="15"/>
        <v>Healthcare</v>
      </c>
      <c r="L95" t="str">
        <f t="shared" si="16"/>
        <v>Healthcare</v>
      </c>
      <c r="M95" t="s">
        <v>208</v>
      </c>
      <c r="N95" t="str">
        <f t="shared" si="17"/>
        <v>JavaScript</v>
      </c>
      <c r="O95" t="str">
        <f t="shared" si="18"/>
        <v>JavaScript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tr">
        <f t="shared" si="19"/>
        <v>Better Salary</v>
      </c>
      <c r="Y95" t="str">
        <f t="shared" si="20"/>
        <v>Better Salary</v>
      </c>
      <c r="Z95" t="s">
        <v>69</v>
      </c>
      <c r="AA95">
        <v>51</v>
      </c>
      <c r="AB95" t="s">
        <v>42</v>
      </c>
      <c r="AC95" t="str">
        <f t="shared" si="21"/>
        <v>United States</v>
      </c>
      <c r="AD95" t="str">
        <f t="shared" si="22"/>
        <v>United States</v>
      </c>
      <c r="AE95" t="s">
        <v>241</v>
      </c>
      <c r="AF95" t="s">
        <v>62</v>
      </c>
      <c r="AG95" t="str">
        <f t="shared" si="12"/>
        <v>Black or African American</v>
      </c>
      <c r="AH95" t="str">
        <f t="shared" si="23"/>
        <v>Black or African American</v>
      </c>
    </row>
    <row r="96" spans="1:34" x14ac:dyDescent="0.25">
      <c r="A96" t="s">
        <v>377</v>
      </c>
      <c r="B96" t="s">
        <v>30</v>
      </c>
      <c r="C96" t="s">
        <v>378</v>
      </c>
      <c r="D96" t="s">
        <v>379</v>
      </c>
      <c r="E96" t="s">
        <v>34</v>
      </c>
      <c r="F96" t="str">
        <f t="shared" si="13"/>
        <v>Data Analyst</v>
      </c>
      <c r="G96" t="str">
        <f t="shared" si="14"/>
        <v>Data Analyst</v>
      </c>
      <c r="H96" t="s">
        <v>47</v>
      </c>
      <c r="I96" t="s">
        <v>57</v>
      </c>
      <c r="J96" t="s">
        <v>94</v>
      </c>
      <c r="K96" t="str">
        <f t="shared" si="15"/>
        <v>Telecommunication</v>
      </c>
      <c r="L96" t="str">
        <f t="shared" si="16"/>
        <v>Telecommunication</v>
      </c>
      <c r="M96" t="s">
        <v>380</v>
      </c>
      <c r="N96" t="s">
        <v>1829</v>
      </c>
      <c r="O96" t="str">
        <f t="shared" si="18"/>
        <v>Others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tr">
        <f t="shared" si="19"/>
        <v>Better Salary</v>
      </c>
      <c r="Y96" t="str">
        <f t="shared" si="20"/>
        <v>Better Salary</v>
      </c>
      <c r="Z96" t="s">
        <v>41</v>
      </c>
      <c r="AA96">
        <v>30</v>
      </c>
      <c r="AB96" t="s">
        <v>113</v>
      </c>
      <c r="AC96" t="str">
        <f t="shared" si="21"/>
        <v>United Kingdom</v>
      </c>
      <c r="AD96" t="str">
        <f t="shared" si="22"/>
        <v>United Kingdom</v>
      </c>
      <c r="AE96" t="s">
        <v>241</v>
      </c>
      <c r="AF96" t="s">
        <v>62</v>
      </c>
      <c r="AG96" t="str">
        <f t="shared" si="12"/>
        <v>Black or African American</v>
      </c>
      <c r="AH96" t="str">
        <f t="shared" si="23"/>
        <v>Black or African American</v>
      </c>
    </row>
    <row r="97" spans="1:34" x14ac:dyDescent="0.25">
      <c r="A97" t="s">
        <v>381</v>
      </c>
      <c r="B97" t="s">
        <v>30</v>
      </c>
      <c r="C97" t="s">
        <v>382</v>
      </c>
      <c r="D97" t="s">
        <v>337</v>
      </c>
      <c r="E97" t="s">
        <v>34</v>
      </c>
      <c r="F97" t="str">
        <f t="shared" si="13"/>
        <v>Data Analyst</v>
      </c>
      <c r="G97" t="str">
        <f t="shared" si="14"/>
        <v>Data Analyst</v>
      </c>
      <c r="H97" t="s">
        <v>35</v>
      </c>
      <c r="I97" t="s">
        <v>48</v>
      </c>
      <c r="J97" t="s">
        <v>49</v>
      </c>
      <c r="K97" t="str">
        <f t="shared" si="15"/>
        <v>Finance</v>
      </c>
      <c r="L97" t="str">
        <f t="shared" si="16"/>
        <v>Finance</v>
      </c>
      <c r="M97" t="s">
        <v>38</v>
      </c>
      <c r="N97" t="str">
        <f t="shared" si="17"/>
        <v>Python</v>
      </c>
      <c r="O97" t="str">
        <f t="shared" si="18"/>
        <v>Python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tr">
        <f t="shared" si="19"/>
        <v>Better Salary</v>
      </c>
      <c r="Y97" t="str">
        <f t="shared" si="20"/>
        <v>Better Salary</v>
      </c>
      <c r="Z97" t="s">
        <v>41</v>
      </c>
      <c r="AA97">
        <v>23</v>
      </c>
      <c r="AB97" t="s">
        <v>151</v>
      </c>
      <c r="AC97" t="str">
        <f t="shared" si="21"/>
        <v>India</v>
      </c>
      <c r="AD97" t="str">
        <f t="shared" si="22"/>
        <v>India</v>
      </c>
      <c r="AE97" t="s">
        <v>241</v>
      </c>
      <c r="AF97" t="s">
        <v>52</v>
      </c>
      <c r="AG97" t="str">
        <f t="shared" si="12"/>
        <v>Asian or Asian American</v>
      </c>
      <c r="AH97" t="str">
        <f t="shared" si="23"/>
        <v>Asian or Asian American</v>
      </c>
    </row>
    <row r="98" spans="1:34" x14ac:dyDescent="0.25">
      <c r="A98" t="s">
        <v>383</v>
      </c>
      <c r="B98" t="s">
        <v>30</v>
      </c>
      <c r="C98" t="s">
        <v>384</v>
      </c>
      <c r="D98" t="s">
        <v>123</v>
      </c>
      <c r="E98" t="s">
        <v>385</v>
      </c>
      <c r="F98" t="str">
        <f t="shared" si="13"/>
        <v>Research Analyst</v>
      </c>
      <c r="G98" t="str">
        <f t="shared" si="14"/>
        <v>Others</v>
      </c>
      <c r="H98" t="s">
        <v>35</v>
      </c>
      <c r="I98" t="s">
        <v>48</v>
      </c>
      <c r="J98" t="s">
        <v>359</v>
      </c>
      <c r="K98" t="str">
        <f t="shared" si="15"/>
        <v>Advertising</v>
      </c>
      <c r="L98" t="str">
        <f t="shared" si="16"/>
        <v>Others</v>
      </c>
      <c r="M98" t="s">
        <v>50</v>
      </c>
      <c r="N98" t="str">
        <f t="shared" si="17"/>
        <v>R</v>
      </c>
      <c r="O98" t="str">
        <f t="shared" si="18"/>
        <v>R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tr">
        <f t="shared" si="19"/>
        <v>Better Salary</v>
      </c>
      <c r="Y98" t="str">
        <f t="shared" si="20"/>
        <v>Better Salary</v>
      </c>
      <c r="Z98" t="s">
        <v>41</v>
      </c>
      <c r="AA98">
        <v>24</v>
      </c>
      <c r="AB98" t="s">
        <v>51</v>
      </c>
      <c r="AC98" t="str">
        <f t="shared" si="21"/>
        <v>Canada</v>
      </c>
      <c r="AD98" t="str">
        <f t="shared" si="22"/>
        <v>Canada</v>
      </c>
      <c r="AE98" t="s">
        <v>241</v>
      </c>
      <c r="AF98" t="s">
        <v>52</v>
      </c>
      <c r="AG98" t="str">
        <f t="shared" si="12"/>
        <v>Asian or Asian American</v>
      </c>
      <c r="AH98" t="str">
        <f t="shared" si="23"/>
        <v>Asian or Asian American</v>
      </c>
    </row>
    <row r="99" spans="1:34" x14ac:dyDescent="0.25">
      <c r="A99" t="s">
        <v>386</v>
      </c>
      <c r="B99" t="s">
        <v>30</v>
      </c>
      <c r="C99" t="s">
        <v>387</v>
      </c>
      <c r="D99" t="s">
        <v>123</v>
      </c>
      <c r="E99" t="s">
        <v>127</v>
      </c>
      <c r="F99" t="str">
        <f t="shared" si="13"/>
        <v>Student/Looking/None</v>
      </c>
      <c r="G99" t="str">
        <f t="shared" si="14"/>
        <v>Student/Looking/None</v>
      </c>
      <c r="H99" t="s">
        <v>35</v>
      </c>
      <c r="I99" t="s">
        <v>48</v>
      </c>
      <c r="J99" t="s">
        <v>107</v>
      </c>
      <c r="K99" t="str">
        <f t="shared" si="15"/>
        <v>Tech</v>
      </c>
      <c r="L99" t="str">
        <f t="shared" si="16"/>
        <v>Tech</v>
      </c>
      <c r="M99" t="s">
        <v>38</v>
      </c>
      <c r="N99" t="str">
        <f t="shared" si="17"/>
        <v>Python</v>
      </c>
      <c r="O99" t="str">
        <f t="shared" si="18"/>
        <v>Python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tr">
        <f t="shared" si="19"/>
        <v>Good Culture</v>
      </c>
      <c r="Y99" t="str">
        <f t="shared" si="20"/>
        <v>Good Culture</v>
      </c>
      <c r="Z99" t="s">
        <v>41</v>
      </c>
      <c r="AA99">
        <v>25</v>
      </c>
      <c r="AB99" t="s">
        <v>203</v>
      </c>
      <c r="AC99" t="str">
        <f t="shared" si="21"/>
        <v>Australia</v>
      </c>
      <c r="AD99" t="str">
        <f t="shared" si="22"/>
        <v>Australia</v>
      </c>
      <c r="AE99" t="s">
        <v>244</v>
      </c>
      <c r="AF99" t="s">
        <v>52</v>
      </c>
      <c r="AG99" t="str">
        <f t="shared" si="12"/>
        <v>Asian or Asian American</v>
      </c>
      <c r="AH99" t="str">
        <f t="shared" si="23"/>
        <v>Asian or Asian American</v>
      </c>
    </row>
    <row r="100" spans="1:34" x14ac:dyDescent="0.25">
      <c r="A100" t="s">
        <v>388</v>
      </c>
      <c r="B100" t="s">
        <v>30</v>
      </c>
      <c r="C100" t="s">
        <v>387</v>
      </c>
      <c r="D100" t="s">
        <v>389</v>
      </c>
      <c r="E100" t="s">
        <v>34</v>
      </c>
      <c r="F100" t="str">
        <f t="shared" si="13"/>
        <v>Data Analyst</v>
      </c>
      <c r="G100" t="str">
        <f t="shared" si="14"/>
        <v>Data Analyst</v>
      </c>
      <c r="H100" t="s">
        <v>35</v>
      </c>
      <c r="I100" t="s">
        <v>48</v>
      </c>
      <c r="J100" t="s">
        <v>49</v>
      </c>
      <c r="K100" t="str">
        <f t="shared" si="15"/>
        <v>Finance</v>
      </c>
      <c r="L100" t="str">
        <f t="shared" si="16"/>
        <v>Finance</v>
      </c>
      <c r="M100" t="s">
        <v>38</v>
      </c>
      <c r="N100" t="str">
        <f t="shared" si="17"/>
        <v>Python</v>
      </c>
      <c r="O100" t="str">
        <f t="shared" si="18"/>
        <v>Python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tr">
        <f t="shared" si="19"/>
        <v>Better Salary</v>
      </c>
      <c r="Y100" t="str">
        <f t="shared" si="20"/>
        <v>Better Salary</v>
      </c>
      <c r="Z100" t="s">
        <v>69</v>
      </c>
      <c r="AA100">
        <v>55</v>
      </c>
      <c r="AB100" t="s">
        <v>42</v>
      </c>
      <c r="AC100" t="str">
        <f t="shared" si="21"/>
        <v>United States</v>
      </c>
      <c r="AD100" t="str">
        <f t="shared" si="22"/>
        <v>United States</v>
      </c>
      <c r="AE100" t="s">
        <v>244</v>
      </c>
      <c r="AF100" t="s">
        <v>390</v>
      </c>
      <c r="AG100" t="str">
        <f t="shared" si="12"/>
        <v>Race isn't a thing</v>
      </c>
      <c r="AH100" t="str">
        <f t="shared" si="23"/>
        <v>Others</v>
      </c>
    </row>
    <row r="101" spans="1:34" x14ac:dyDescent="0.25">
      <c r="A101" t="s">
        <v>391</v>
      </c>
      <c r="B101" t="s">
        <v>30</v>
      </c>
      <c r="C101" t="s">
        <v>392</v>
      </c>
      <c r="D101" t="s">
        <v>393</v>
      </c>
      <c r="E101" t="s">
        <v>34</v>
      </c>
      <c r="F101" t="str">
        <f t="shared" si="13"/>
        <v>Data Analyst</v>
      </c>
      <c r="G101" t="str">
        <f t="shared" si="14"/>
        <v>Data Analyst</v>
      </c>
      <c r="H101" t="s">
        <v>47</v>
      </c>
      <c r="I101" t="s">
        <v>91</v>
      </c>
      <c r="J101" t="s">
        <v>394</v>
      </c>
      <c r="K101" t="str">
        <f t="shared" si="15"/>
        <v>Biotech</v>
      </c>
      <c r="L101" t="str">
        <f t="shared" si="16"/>
        <v>Others</v>
      </c>
      <c r="M101" t="s">
        <v>50</v>
      </c>
      <c r="N101" t="str">
        <f t="shared" si="17"/>
        <v>R</v>
      </c>
      <c r="O101" t="str">
        <f t="shared" si="18"/>
        <v>R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tr">
        <f t="shared" si="19"/>
        <v>Remote Work</v>
      </c>
      <c r="Y101" t="str">
        <f t="shared" si="20"/>
        <v>Remote Work</v>
      </c>
      <c r="Z101" t="s">
        <v>69</v>
      </c>
      <c r="AA101">
        <v>30</v>
      </c>
      <c r="AB101" t="s">
        <v>42</v>
      </c>
      <c r="AC101" t="str">
        <f t="shared" si="21"/>
        <v>United States</v>
      </c>
      <c r="AD101" t="str">
        <f t="shared" si="22"/>
        <v>United States</v>
      </c>
      <c r="AE101" t="s">
        <v>244</v>
      </c>
      <c r="AF101" t="s">
        <v>43</v>
      </c>
      <c r="AG101" t="str">
        <f t="shared" si="12"/>
        <v>White or Caucasian</v>
      </c>
      <c r="AH101" t="str">
        <f t="shared" si="23"/>
        <v>White or Caucasian</v>
      </c>
    </row>
    <row r="102" spans="1:34" x14ac:dyDescent="0.25">
      <c r="A102" t="s">
        <v>395</v>
      </c>
      <c r="B102" t="s">
        <v>30</v>
      </c>
      <c r="C102" t="s">
        <v>392</v>
      </c>
      <c r="D102" t="s">
        <v>396</v>
      </c>
      <c r="E102" t="s">
        <v>34</v>
      </c>
      <c r="F102" t="str">
        <f t="shared" si="13"/>
        <v>Data Analyst</v>
      </c>
      <c r="G102" t="str">
        <f t="shared" si="14"/>
        <v>Data Analyst</v>
      </c>
      <c r="H102" t="s">
        <v>35</v>
      </c>
      <c r="I102" t="s">
        <v>48</v>
      </c>
      <c r="J102" t="s">
        <v>397</v>
      </c>
      <c r="K102" t="str">
        <f t="shared" si="15"/>
        <v>Consulting</v>
      </c>
      <c r="L102" t="str">
        <f t="shared" si="16"/>
        <v>Others</v>
      </c>
      <c r="M102" t="s">
        <v>38</v>
      </c>
      <c r="N102" t="str">
        <f t="shared" si="17"/>
        <v>Python</v>
      </c>
      <c r="O102" t="str">
        <f t="shared" si="18"/>
        <v>Python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tr">
        <f t="shared" si="19"/>
        <v>Better Salary</v>
      </c>
      <c r="Y102" t="str">
        <f t="shared" si="20"/>
        <v>Better Salary</v>
      </c>
      <c r="Z102" t="s">
        <v>41</v>
      </c>
      <c r="AA102">
        <v>25</v>
      </c>
      <c r="AB102" t="s">
        <v>51</v>
      </c>
      <c r="AC102" t="str">
        <f t="shared" si="21"/>
        <v>Canada</v>
      </c>
      <c r="AD102" t="str">
        <f t="shared" si="22"/>
        <v>Canada</v>
      </c>
      <c r="AE102" t="s">
        <v>241</v>
      </c>
      <c r="AF102" t="s">
        <v>52</v>
      </c>
      <c r="AG102" t="str">
        <f t="shared" si="12"/>
        <v>Asian or Asian American</v>
      </c>
      <c r="AH102" t="str">
        <f t="shared" si="23"/>
        <v>Asian or Asian American</v>
      </c>
    </row>
    <row r="103" spans="1:34" x14ac:dyDescent="0.25">
      <c r="A103" t="s">
        <v>398</v>
      </c>
      <c r="B103" t="s">
        <v>30</v>
      </c>
      <c r="C103" t="s">
        <v>399</v>
      </c>
      <c r="D103" t="s">
        <v>400</v>
      </c>
      <c r="E103" t="s">
        <v>34</v>
      </c>
      <c r="F103" t="str">
        <f t="shared" si="13"/>
        <v>Data Analyst</v>
      </c>
      <c r="G103" t="str">
        <f t="shared" si="14"/>
        <v>Data Analyst</v>
      </c>
      <c r="H103" t="s">
        <v>35</v>
      </c>
      <c r="I103" t="s">
        <v>98</v>
      </c>
      <c r="J103" t="s">
        <v>401</v>
      </c>
      <c r="K103" t="str">
        <f t="shared" si="15"/>
        <v>Consumer Elec</v>
      </c>
      <c r="L103" t="str">
        <f t="shared" si="16"/>
        <v>Others</v>
      </c>
      <c r="M103" t="s">
        <v>38</v>
      </c>
      <c r="N103" t="str">
        <f t="shared" si="17"/>
        <v>Python</v>
      </c>
      <c r="O103" t="str">
        <f t="shared" si="18"/>
        <v>Python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tr">
        <f t="shared" si="19"/>
        <v>Better Salary</v>
      </c>
      <c r="Y103" t="str">
        <f t="shared" si="20"/>
        <v>Better Salary</v>
      </c>
      <c r="Z103" t="s">
        <v>41</v>
      </c>
      <c r="AA103">
        <v>28</v>
      </c>
      <c r="AB103" t="s">
        <v>42</v>
      </c>
      <c r="AC103" t="str">
        <f t="shared" si="21"/>
        <v>United States</v>
      </c>
      <c r="AD103" t="str">
        <f t="shared" si="22"/>
        <v>United States</v>
      </c>
      <c r="AE103" t="s">
        <v>244</v>
      </c>
      <c r="AF103" t="s">
        <v>43</v>
      </c>
      <c r="AG103" t="str">
        <f t="shared" si="12"/>
        <v>White or Caucasian</v>
      </c>
      <c r="AH103" t="str">
        <f t="shared" si="23"/>
        <v>White or Caucasian</v>
      </c>
    </row>
    <row r="104" spans="1:34" x14ac:dyDescent="0.25">
      <c r="A104" t="s">
        <v>402</v>
      </c>
      <c r="B104" t="s">
        <v>30</v>
      </c>
      <c r="C104" t="s">
        <v>403</v>
      </c>
      <c r="D104" t="s">
        <v>389</v>
      </c>
      <c r="E104" t="s">
        <v>404</v>
      </c>
      <c r="F104" t="str">
        <f t="shared" si="13"/>
        <v>Insights analyst</v>
      </c>
      <c r="G104" t="str">
        <f t="shared" si="14"/>
        <v>Others</v>
      </c>
      <c r="H104" t="s">
        <v>35</v>
      </c>
      <c r="I104" t="s">
        <v>48</v>
      </c>
      <c r="J104" t="s">
        <v>397</v>
      </c>
      <c r="K104" t="str">
        <f t="shared" si="15"/>
        <v>Consulting</v>
      </c>
      <c r="L104" t="str">
        <f t="shared" si="16"/>
        <v>Others</v>
      </c>
      <c r="M104" t="s">
        <v>38</v>
      </c>
      <c r="N104" t="str">
        <f t="shared" si="17"/>
        <v>Python</v>
      </c>
      <c r="O104" t="str">
        <f t="shared" si="18"/>
        <v>Python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tr">
        <f t="shared" si="19"/>
        <v>Better Salary</v>
      </c>
      <c r="Y104" t="str">
        <f t="shared" si="20"/>
        <v>Better Salary</v>
      </c>
      <c r="Z104" t="s">
        <v>41</v>
      </c>
      <c r="AA104">
        <v>34</v>
      </c>
      <c r="AB104" t="s">
        <v>113</v>
      </c>
      <c r="AC104" t="str">
        <f t="shared" si="21"/>
        <v>United Kingdom</v>
      </c>
      <c r="AD104" t="str">
        <f t="shared" si="22"/>
        <v>United Kingdom</v>
      </c>
      <c r="AE104" t="s">
        <v>241</v>
      </c>
      <c r="AF104" t="s">
        <v>43</v>
      </c>
      <c r="AG104" t="str">
        <f t="shared" si="12"/>
        <v>White or Caucasian</v>
      </c>
      <c r="AH104" t="str">
        <f t="shared" si="23"/>
        <v>White or Caucasian</v>
      </c>
    </row>
    <row r="105" spans="1:34" x14ac:dyDescent="0.25">
      <c r="A105" t="s">
        <v>405</v>
      </c>
      <c r="B105" t="s">
        <v>30</v>
      </c>
      <c r="C105" t="s">
        <v>403</v>
      </c>
      <c r="D105" t="s">
        <v>406</v>
      </c>
      <c r="E105" t="s">
        <v>34</v>
      </c>
      <c r="F105" t="str">
        <f t="shared" si="13"/>
        <v>Data Analyst</v>
      </c>
      <c r="G105" t="str">
        <f t="shared" si="14"/>
        <v>Data Analyst</v>
      </c>
      <c r="H105" t="s">
        <v>35</v>
      </c>
      <c r="I105" t="s">
        <v>57</v>
      </c>
      <c r="J105" t="s">
        <v>107</v>
      </c>
      <c r="K105" t="str">
        <f t="shared" si="15"/>
        <v>Tech</v>
      </c>
      <c r="L105" t="str">
        <f t="shared" si="16"/>
        <v>Tech</v>
      </c>
      <c r="M105" t="s">
        <v>38</v>
      </c>
      <c r="N105" t="str">
        <f t="shared" si="17"/>
        <v>Python</v>
      </c>
      <c r="O105" t="str">
        <f t="shared" si="18"/>
        <v>Python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tr">
        <f t="shared" si="19"/>
        <v>Better Salary</v>
      </c>
      <c r="Y105" t="str">
        <f t="shared" si="20"/>
        <v>Better Salary</v>
      </c>
      <c r="Z105" t="s">
        <v>69</v>
      </c>
      <c r="AA105">
        <v>28</v>
      </c>
      <c r="AB105" t="s">
        <v>407</v>
      </c>
      <c r="AC105" t="str">
        <f t="shared" si="21"/>
        <v>Costa Rica</v>
      </c>
      <c r="AD105" t="str">
        <f t="shared" si="22"/>
        <v>Costa Rica</v>
      </c>
      <c r="AE105" t="s">
        <v>241</v>
      </c>
      <c r="AF105" t="s">
        <v>95</v>
      </c>
      <c r="AG105" t="str">
        <f t="shared" si="12"/>
        <v>Hispanic or Latino</v>
      </c>
      <c r="AH105" t="str">
        <f t="shared" si="23"/>
        <v>Hispanic or Latino</v>
      </c>
    </row>
    <row r="106" spans="1:34" x14ac:dyDescent="0.25">
      <c r="A106" t="s">
        <v>408</v>
      </c>
      <c r="B106" t="s">
        <v>30</v>
      </c>
      <c r="C106" t="s">
        <v>409</v>
      </c>
      <c r="D106" t="s">
        <v>410</v>
      </c>
      <c r="E106" t="s">
        <v>127</v>
      </c>
      <c r="F106" t="str">
        <f t="shared" si="13"/>
        <v>Student/Looking/None</v>
      </c>
      <c r="G106" t="str">
        <f t="shared" si="14"/>
        <v>Student/Looking/None</v>
      </c>
      <c r="H106" t="s">
        <v>47</v>
      </c>
      <c r="I106" t="s">
        <v>57</v>
      </c>
      <c r="J106" t="s">
        <v>411</v>
      </c>
      <c r="K106" t="str">
        <f t="shared" si="15"/>
        <v>Semiconductor manufacturing</v>
      </c>
      <c r="L106" t="str">
        <f t="shared" si="16"/>
        <v>Others</v>
      </c>
      <c r="M106" t="s">
        <v>380</v>
      </c>
      <c r="N106" t="s">
        <v>1829</v>
      </c>
      <c r="O106" t="str">
        <f t="shared" si="18"/>
        <v>Others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tr">
        <f t="shared" si="19"/>
        <v>Better Salary</v>
      </c>
      <c r="Y106" t="str">
        <f t="shared" si="20"/>
        <v>Better Salary</v>
      </c>
      <c r="Z106" t="s">
        <v>41</v>
      </c>
      <c r="AA106">
        <v>24</v>
      </c>
      <c r="AB106" t="s">
        <v>412</v>
      </c>
      <c r="AC106" t="str">
        <f t="shared" si="21"/>
        <v>Vietnam</v>
      </c>
      <c r="AD106" t="str">
        <f t="shared" si="22"/>
        <v>Others</v>
      </c>
      <c r="AE106" t="s">
        <v>241</v>
      </c>
      <c r="AF106" t="s">
        <v>52</v>
      </c>
      <c r="AG106" t="str">
        <f t="shared" si="12"/>
        <v>Asian or Asian American</v>
      </c>
      <c r="AH106" t="str">
        <f t="shared" si="23"/>
        <v>Asian or Asian American</v>
      </c>
    </row>
    <row r="107" spans="1:34" x14ac:dyDescent="0.25">
      <c r="A107" t="s">
        <v>413</v>
      </c>
      <c r="B107" t="s">
        <v>30</v>
      </c>
      <c r="C107" t="s">
        <v>409</v>
      </c>
      <c r="D107" t="s">
        <v>80</v>
      </c>
      <c r="E107" t="s">
        <v>127</v>
      </c>
      <c r="F107" t="str">
        <f t="shared" si="13"/>
        <v>Student/Looking/None</v>
      </c>
      <c r="G107" t="str">
        <f t="shared" si="14"/>
        <v>Student/Looking/None</v>
      </c>
      <c r="H107" t="s">
        <v>35</v>
      </c>
      <c r="I107" t="s">
        <v>57</v>
      </c>
      <c r="J107" t="s">
        <v>37</v>
      </c>
      <c r="K107" t="str">
        <f t="shared" si="15"/>
        <v>Healthcare</v>
      </c>
      <c r="L107" t="str">
        <f t="shared" si="16"/>
        <v>Healthcare</v>
      </c>
      <c r="M107" t="s">
        <v>38</v>
      </c>
      <c r="N107" t="str">
        <f t="shared" si="17"/>
        <v>Python</v>
      </c>
      <c r="O107" t="str">
        <f t="shared" si="18"/>
        <v>Python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tr">
        <f t="shared" si="19"/>
        <v>Better Salary</v>
      </c>
      <c r="Y107" t="str">
        <f t="shared" si="20"/>
        <v>Better Salary</v>
      </c>
      <c r="Z107" t="s">
        <v>41</v>
      </c>
      <c r="AA107">
        <v>31</v>
      </c>
      <c r="AB107" t="s">
        <v>42</v>
      </c>
      <c r="AC107" t="str">
        <f t="shared" si="21"/>
        <v>United States</v>
      </c>
      <c r="AD107" t="str">
        <f t="shared" si="22"/>
        <v>United States</v>
      </c>
      <c r="AE107" t="s">
        <v>244</v>
      </c>
      <c r="AF107" t="s">
        <v>62</v>
      </c>
      <c r="AG107" t="str">
        <f t="shared" si="12"/>
        <v>Black or African American</v>
      </c>
      <c r="AH107" t="str">
        <f t="shared" si="23"/>
        <v>Black or African American</v>
      </c>
    </row>
    <row r="108" spans="1:34" x14ac:dyDescent="0.25">
      <c r="A108" t="s">
        <v>414</v>
      </c>
      <c r="B108" t="s">
        <v>30</v>
      </c>
      <c r="C108" t="s">
        <v>415</v>
      </c>
      <c r="D108" t="s">
        <v>154</v>
      </c>
      <c r="E108" t="s">
        <v>34</v>
      </c>
      <c r="F108" t="str">
        <f t="shared" si="13"/>
        <v>Data Analyst</v>
      </c>
      <c r="G108" t="str">
        <f t="shared" si="14"/>
        <v>Data Analyst</v>
      </c>
      <c r="H108" t="s">
        <v>35</v>
      </c>
      <c r="I108" t="s">
        <v>48</v>
      </c>
      <c r="J108" t="s">
        <v>416</v>
      </c>
      <c r="K108" t="str">
        <f t="shared" si="15"/>
        <v>Supply Chain - warehousing, transpiration and</v>
      </c>
      <c r="L108" t="str">
        <f t="shared" si="16"/>
        <v>Others</v>
      </c>
      <c r="M108" t="s">
        <v>417</v>
      </c>
      <c r="N108" t="str">
        <f t="shared" si="17"/>
        <v>Knowledge of Excel and SQL yet</v>
      </c>
      <c r="O108" t="str">
        <f t="shared" si="18"/>
        <v>Others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tr">
        <f t="shared" si="19"/>
        <v>Better Salary</v>
      </c>
      <c r="Y108" t="str">
        <f t="shared" si="20"/>
        <v>Better Salary</v>
      </c>
      <c r="Z108" t="s">
        <v>41</v>
      </c>
      <c r="AA108">
        <v>25</v>
      </c>
      <c r="AB108" t="s">
        <v>51</v>
      </c>
      <c r="AC108" t="str">
        <f t="shared" si="21"/>
        <v>Canada</v>
      </c>
      <c r="AD108" t="str">
        <f t="shared" si="22"/>
        <v>Canada</v>
      </c>
      <c r="AE108" t="s">
        <v>241</v>
      </c>
      <c r="AF108" t="s">
        <v>52</v>
      </c>
      <c r="AG108" t="str">
        <f t="shared" si="12"/>
        <v>Asian or Asian American</v>
      </c>
      <c r="AH108" t="str">
        <f t="shared" si="23"/>
        <v>Asian or Asian American</v>
      </c>
    </row>
    <row r="109" spans="1:34" x14ac:dyDescent="0.25">
      <c r="A109" t="s">
        <v>418</v>
      </c>
      <c r="B109" t="s">
        <v>30</v>
      </c>
      <c r="C109" t="s">
        <v>415</v>
      </c>
      <c r="D109" t="s">
        <v>130</v>
      </c>
      <c r="E109" t="s">
        <v>34</v>
      </c>
      <c r="F109" t="str">
        <f t="shared" si="13"/>
        <v>Data Analyst</v>
      </c>
      <c r="G109" t="str">
        <f t="shared" si="14"/>
        <v>Data Analyst</v>
      </c>
      <c r="H109" t="s">
        <v>35</v>
      </c>
      <c r="I109" t="s">
        <v>36</v>
      </c>
      <c r="J109" t="s">
        <v>49</v>
      </c>
      <c r="K109" t="str">
        <f t="shared" si="15"/>
        <v>Finance</v>
      </c>
      <c r="L109" t="str">
        <f t="shared" si="16"/>
        <v>Finance</v>
      </c>
      <c r="M109" t="s">
        <v>38</v>
      </c>
      <c r="N109" t="str">
        <f t="shared" si="17"/>
        <v>Python</v>
      </c>
      <c r="O109" t="str">
        <f t="shared" si="18"/>
        <v>Python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tr">
        <f t="shared" si="19"/>
        <v>Better Salary</v>
      </c>
      <c r="Y109" t="str">
        <f t="shared" si="20"/>
        <v>Better Salary</v>
      </c>
      <c r="Z109" t="s">
        <v>69</v>
      </c>
      <c r="AA109">
        <v>38</v>
      </c>
      <c r="AB109" t="s">
        <v>42</v>
      </c>
      <c r="AC109" t="str">
        <f t="shared" si="21"/>
        <v>United States</v>
      </c>
      <c r="AD109" t="str">
        <f t="shared" si="22"/>
        <v>United States</v>
      </c>
      <c r="AE109" t="s">
        <v>241</v>
      </c>
      <c r="AF109" t="s">
        <v>43</v>
      </c>
      <c r="AG109" t="str">
        <f t="shared" si="12"/>
        <v>White or Caucasian</v>
      </c>
      <c r="AH109" t="str">
        <f t="shared" si="23"/>
        <v>White or Caucasian</v>
      </c>
    </row>
    <row r="110" spans="1:34" x14ac:dyDescent="0.25">
      <c r="A110" t="s">
        <v>419</v>
      </c>
      <c r="B110" t="s">
        <v>30</v>
      </c>
      <c r="C110" t="s">
        <v>415</v>
      </c>
      <c r="D110" t="s">
        <v>321</v>
      </c>
      <c r="E110" t="s">
        <v>34</v>
      </c>
      <c r="F110" t="str">
        <f t="shared" si="13"/>
        <v>Data Analyst</v>
      </c>
      <c r="G110" t="str">
        <f t="shared" si="14"/>
        <v>Data Analyst</v>
      </c>
      <c r="H110" t="s">
        <v>47</v>
      </c>
      <c r="I110" t="s">
        <v>48</v>
      </c>
      <c r="J110" t="s">
        <v>49</v>
      </c>
      <c r="K110" t="str">
        <f t="shared" si="15"/>
        <v>Finance</v>
      </c>
      <c r="L110" t="str">
        <f t="shared" si="16"/>
        <v>Finance</v>
      </c>
      <c r="M110" t="s">
        <v>38</v>
      </c>
      <c r="N110" t="str">
        <f t="shared" si="17"/>
        <v>Python</v>
      </c>
      <c r="O110" t="str">
        <f t="shared" si="18"/>
        <v>Python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tr">
        <f t="shared" si="19"/>
        <v>Good Culture</v>
      </c>
      <c r="Y110" t="str">
        <f t="shared" si="20"/>
        <v>Good Culture</v>
      </c>
      <c r="Z110" t="s">
        <v>41</v>
      </c>
      <c r="AA110">
        <v>30</v>
      </c>
      <c r="AB110" t="s">
        <v>323</v>
      </c>
      <c r="AC110" t="str">
        <f t="shared" si="21"/>
        <v>Netherlands</v>
      </c>
      <c r="AD110" t="str">
        <f t="shared" si="22"/>
        <v>Netherlands</v>
      </c>
      <c r="AE110" t="s">
        <v>241</v>
      </c>
      <c r="AF110" t="s">
        <v>95</v>
      </c>
      <c r="AG110" t="str">
        <f t="shared" si="12"/>
        <v>Hispanic or Latino</v>
      </c>
      <c r="AH110" t="str">
        <f t="shared" si="23"/>
        <v>Hispanic or Latino</v>
      </c>
    </row>
    <row r="111" spans="1:34" x14ac:dyDescent="0.25">
      <c r="A111" t="s">
        <v>420</v>
      </c>
      <c r="B111" t="s">
        <v>30</v>
      </c>
      <c r="C111" t="s">
        <v>415</v>
      </c>
      <c r="D111" t="s">
        <v>321</v>
      </c>
      <c r="E111" t="s">
        <v>34</v>
      </c>
      <c r="F111" t="str">
        <f t="shared" si="13"/>
        <v>Data Analyst</v>
      </c>
      <c r="G111" t="str">
        <f t="shared" si="14"/>
        <v>Data Analyst</v>
      </c>
      <c r="H111" t="s">
        <v>35</v>
      </c>
      <c r="I111" t="s">
        <v>57</v>
      </c>
      <c r="J111" t="s">
        <v>107</v>
      </c>
      <c r="K111" t="str">
        <f t="shared" si="15"/>
        <v>Tech</v>
      </c>
      <c r="L111" t="str">
        <f t="shared" si="16"/>
        <v>Tech</v>
      </c>
      <c r="M111" t="s">
        <v>261</v>
      </c>
      <c r="N111" t="str">
        <f t="shared" si="17"/>
        <v>C/C++</v>
      </c>
      <c r="O111" t="str">
        <f t="shared" si="18"/>
        <v>C/C++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tr">
        <f t="shared" si="19"/>
        <v>Good Work/Life Balance</v>
      </c>
      <c r="Y111" t="str">
        <f t="shared" si="20"/>
        <v>Good Work/Life Balance</v>
      </c>
      <c r="Z111" t="s">
        <v>41</v>
      </c>
      <c r="AA111">
        <v>25</v>
      </c>
      <c r="AB111" t="s">
        <v>151</v>
      </c>
      <c r="AC111" t="str">
        <f t="shared" si="21"/>
        <v>India</v>
      </c>
      <c r="AD111" t="str">
        <f t="shared" si="22"/>
        <v>India</v>
      </c>
      <c r="AE111" t="s">
        <v>241</v>
      </c>
      <c r="AF111" t="s">
        <v>52</v>
      </c>
      <c r="AG111" t="str">
        <f t="shared" si="12"/>
        <v>Asian or Asian American</v>
      </c>
      <c r="AH111" t="str">
        <f t="shared" si="23"/>
        <v>Asian or Asian American</v>
      </c>
    </row>
    <row r="112" spans="1:34" x14ac:dyDescent="0.25">
      <c r="A112" t="s">
        <v>421</v>
      </c>
      <c r="B112" t="s">
        <v>30</v>
      </c>
      <c r="C112" t="s">
        <v>422</v>
      </c>
      <c r="D112" t="s">
        <v>335</v>
      </c>
      <c r="E112" t="s">
        <v>34</v>
      </c>
      <c r="F112" t="str">
        <f t="shared" si="13"/>
        <v>Data Analyst</v>
      </c>
      <c r="G112" t="str">
        <f t="shared" si="14"/>
        <v>Data Analyst</v>
      </c>
      <c r="H112" t="s">
        <v>35</v>
      </c>
      <c r="I112" t="s">
        <v>57</v>
      </c>
      <c r="J112" t="s">
        <v>107</v>
      </c>
      <c r="K112" t="str">
        <f t="shared" si="15"/>
        <v>Tech</v>
      </c>
      <c r="L112" t="str">
        <f t="shared" si="16"/>
        <v>Tech</v>
      </c>
      <c r="M112" t="s">
        <v>38</v>
      </c>
      <c r="N112" t="str">
        <f t="shared" si="17"/>
        <v>Python</v>
      </c>
      <c r="O112" t="str">
        <f t="shared" si="18"/>
        <v>Python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tr">
        <f t="shared" si="19"/>
        <v>Better Salary</v>
      </c>
      <c r="Y112" t="str">
        <f t="shared" si="20"/>
        <v>Better Salary</v>
      </c>
      <c r="Z112" t="s">
        <v>69</v>
      </c>
      <c r="AA112">
        <v>29</v>
      </c>
      <c r="AB112" t="s">
        <v>423</v>
      </c>
      <c r="AC112" t="str">
        <f t="shared" si="21"/>
        <v>Nigeria</v>
      </c>
      <c r="AD112" t="str">
        <f t="shared" si="22"/>
        <v>Nigeria</v>
      </c>
      <c r="AE112" t="s">
        <v>241</v>
      </c>
      <c r="AF112" t="s">
        <v>62</v>
      </c>
      <c r="AG112" t="str">
        <f t="shared" si="12"/>
        <v>Black or African American</v>
      </c>
      <c r="AH112" t="str">
        <f t="shared" si="23"/>
        <v>Black or African American</v>
      </c>
    </row>
    <row r="113" spans="1:34" x14ac:dyDescent="0.25">
      <c r="A113" t="s">
        <v>424</v>
      </c>
      <c r="B113" t="s">
        <v>30</v>
      </c>
      <c r="C113" t="s">
        <v>425</v>
      </c>
      <c r="D113" t="s">
        <v>426</v>
      </c>
      <c r="E113" t="s">
        <v>81</v>
      </c>
      <c r="F113" t="str">
        <f t="shared" si="13"/>
        <v>Data Scientist</v>
      </c>
      <c r="G113" t="str">
        <f t="shared" si="14"/>
        <v>Data Scientist</v>
      </c>
      <c r="H113" t="s">
        <v>35</v>
      </c>
      <c r="I113" t="s">
        <v>67</v>
      </c>
      <c r="J113" t="s">
        <v>49</v>
      </c>
      <c r="K113" t="str">
        <f t="shared" si="15"/>
        <v>Finance</v>
      </c>
      <c r="L113" t="str">
        <f t="shared" si="16"/>
        <v>Finance</v>
      </c>
      <c r="M113" t="s">
        <v>38</v>
      </c>
      <c r="N113" t="str">
        <f t="shared" si="17"/>
        <v>Python</v>
      </c>
      <c r="O113" t="str">
        <f t="shared" si="18"/>
        <v>Python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tr">
        <f t="shared" si="19"/>
        <v>Good Work/Life Balance</v>
      </c>
      <c r="Y113" t="str">
        <f t="shared" si="20"/>
        <v>Good Work/Life Balance</v>
      </c>
      <c r="Z113" t="s">
        <v>41</v>
      </c>
      <c r="AA113">
        <v>21</v>
      </c>
      <c r="AB113" t="s">
        <v>427</v>
      </c>
      <c r="AC113" t="str">
        <f t="shared" si="21"/>
        <v>Portugal</v>
      </c>
      <c r="AD113" t="str">
        <f t="shared" si="22"/>
        <v>Portugal</v>
      </c>
      <c r="AE113" t="s">
        <v>244</v>
      </c>
      <c r="AF113" t="s">
        <v>43</v>
      </c>
      <c r="AG113" t="str">
        <f t="shared" si="12"/>
        <v>White or Caucasian</v>
      </c>
      <c r="AH113" t="str">
        <f t="shared" si="23"/>
        <v>White or Caucasian</v>
      </c>
    </row>
    <row r="114" spans="1:34" x14ac:dyDescent="0.25">
      <c r="A114" t="s">
        <v>428</v>
      </c>
      <c r="B114" t="s">
        <v>30</v>
      </c>
      <c r="C114" t="s">
        <v>425</v>
      </c>
      <c r="D114" t="s">
        <v>429</v>
      </c>
      <c r="E114" t="s">
        <v>34</v>
      </c>
      <c r="F114" t="str">
        <f t="shared" si="13"/>
        <v>Data Analyst</v>
      </c>
      <c r="G114" t="str">
        <f t="shared" si="14"/>
        <v>Data Analyst</v>
      </c>
      <c r="H114" t="s">
        <v>35</v>
      </c>
      <c r="I114" t="s">
        <v>98</v>
      </c>
      <c r="J114" t="s">
        <v>430</v>
      </c>
      <c r="K114" t="str">
        <f t="shared" si="15"/>
        <v>Distribution</v>
      </c>
      <c r="L114" t="str">
        <f t="shared" si="16"/>
        <v>Others</v>
      </c>
      <c r="M114" t="s">
        <v>88</v>
      </c>
      <c r="N114" t="str">
        <f t="shared" si="17"/>
        <v>SQL</v>
      </c>
      <c r="O114" t="str">
        <f t="shared" si="18"/>
        <v>SQL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tr">
        <f t="shared" si="19"/>
        <v>Remote Work</v>
      </c>
      <c r="Y114" t="str">
        <f t="shared" si="20"/>
        <v>Remote Work</v>
      </c>
      <c r="Z114" t="s">
        <v>69</v>
      </c>
      <c r="AA114">
        <v>39</v>
      </c>
      <c r="AB114" t="s">
        <v>42</v>
      </c>
      <c r="AC114" t="str">
        <f t="shared" si="21"/>
        <v>United States</v>
      </c>
      <c r="AD114" t="str">
        <f t="shared" si="22"/>
        <v>United States</v>
      </c>
      <c r="AE114" t="s">
        <v>241</v>
      </c>
      <c r="AF114" t="s">
        <v>52</v>
      </c>
      <c r="AG114" t="str">
        <f t="shared" si="12"/>
        <v>Asian or Asian American</v>
      </c>
      <c r="AH114" t="str">
        <f t="shared" si="23"/>
        <v>Asian or Asian American</v>
      </c>
    </row>
    <row r="115" spans="1:34" x14ac:dyDescent="0.25">
      <c r="A115" t="s">
        <v>431</v>
      </c>
      <c r="B115" t="s">
        <v>30</v>
      </c>
      <c r="C115" t="s">
        <v>432</v>
      </c>
      <c r="D115" t="s">
        <v>326</v>
      </c>
      <c r="E115" t="s">
        <v>127</v>
      </c>
      <c r="F115" t="str">
        <f t="shared" si="13"/>
        <v>Student/Looking/None</v>
      </c>
      <c r="G115" t="str">
        <f t="shared" si="14"/>
        <v>Student/Looking/None</v>
      </c>
      <c r="H115" t="s">
        <v>47</v>
      </c>
      <c r="I115" t="s">
        <v>57</v>
      </c>
      <c r="J115" t="s">
        <v>82</v>
      </c>
      <c r="K115" t="str">
        <f t="shared" si="15"/>
        <v>Other</v>
      </c>
      <c r="L115" t="str">
        <f t="shared" si="16"/>
        <v>Others</v>
      </c>
      <c r="M115" t="s">
        <v>38</v>
      </c>
      <c r="N115" t="str">
        <f t="shared" si="17"/>
        <v>Python</v>
      </c>
      <c r="O115" t="str">
        <f t="shared" si="18"/>
        <v>Python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tr">
        <f t="shared" si="19"/>
        <v>Better Salary</v>
      </c>
      <c r="Y115" t="str">
        <f t="shared" si="20"/>
        <v>Better Salary</v>
      </c>
      <c r="Z115" t="s">
        <v>41</v>
      </c>
      <c r="AA115">
        <v>25</v>
      </c>
      <c r="AB115" t="s">
        <v>433</v>
      </c>
      <c r="AC115" t="str">
        <f t="shared" si="21"/>
        <v>turkey</v>
      </c>
      <c r="AD115" t="str">
        <f t="shared" si="22"/>
        <v>Others</v>
      </c>
      <c r="AE115" t="s">
        <v>241</v>
      </c>
      <c r="AF115" t="s">
        <v>43</v>
      </c>
      <c r="AG115" t="str">
        <f t="shared" si="12"/>
        <v>White or Caucasian</v>
      </c>
      <c r="AH115" t="str">
        <f t="shared" si="23"/>
        <v>White or Caucasian</v>
      </c>
    </row>
    <row r="116" spans="1:34" x14ac:dyDescent="0.25">
      <c r="A116" t="s">
        <v>434</v>
      </c>
      <c r="B116" t="s">
        <v>30</v>
      </c>
      <c r="C116" t="s">
        <v>432</v>
      </c>
      <c r="D116" t="s">
        <v>303</v>
      </c>
      <c r="E116" t="s">
        <v>435</v>
      </c>
      <c r="F116" t="str">
        <f t="shared" si="13"/>
        <v>Does a social media analyst count?</v>
      </c>
      <c r="G116" t="str">
        <f t="shared" si="14"/>
        <v>Others</v>
      </c>
      <c r="H116" t="s">
        <v>35</v>
      </c>
      <c r="I116" t="s">
        <v>91</v>
      </c>
      <c r="J116" t="s">
        <v>49</v>
      </c>
      <c r="K116" t="str">
        <f t="shared" si="15"/>
        <v>Finance</v>
      </c>
      <c r="L116" t="str">
        <f t="shared" si="16"/>
        <v>Finance</v>
      </c>
      <c r="M116" t="s">
        <v>436</v>
      </c>
      <c r="N116" t="str">
        <f t="shared" si="17"/>
        <v>I don't use programming in my role</v>
      </c>
      <c r="O116" t="str">
        <f t="shared" si="18"/>
        <v>Others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tr">
        <f t="shared" si="19"/>
        <v>Opportunity for advancement</v>
      </c>
      <c r="Y116" t="str">
        <f t="shared" si="20"/>
        <v>Others</v>
      </c>
      <c r="Z116" t="s">
        <v>69</v>
      </c>
      <c r="AA116">
        <v>42</v>
      </c>
      <c r="AB116" t="s">
        <v>42</v>
      </c>
      <c r="AC116" t="str">
        <f t="shared" si="21"/>
        <v>United States</v>
      </c>
      <c r="AD116" t="str">
        <f t="shared" si="22"/>
        <v>United States</v>
      </c>
      <c r="AE116" t="s">
        <v>244</v>
      </c>
      <c r="AF116" t="s">
        <v>95</v>
      </c>
      <c r="AG116" t="str">
        <f t="shared" si="12"/>
        <v>Hispanic or Latino</v>
      </c>
      <c r="AH116" t="str">
        <f t="shared" si="23"/>
        <v>Hispanic or Latino</v>
      </c>
    </row>
    <row r="117" spans="1:34" x14ac:dyDescent="0.25">
      <c r="A117" t="s">
        <v>438</v>
      </c>
      <c r="B117" t="s">
        <v>30</v>
      </c>
      <c r="C117" t="s">
        <v>439</v>
      </c>
      <c r="D117" t="s">
        <v>440</v>
      </c>
      <c r="E117" t="s">
        <v>34</v>
      </c>
      <c r="F117" t="str">
        <f t="shared" si="13"/>
        <v>Data Analyst</v>
      </c>
      <c r="G117" t="str">
        <f t="shared" si="14"/>
        <v>Data Analyst</v>
      </c>
      <c r="H117" t="s">
        <v>47</v>
      </c>
      <c r="I117" t="s">
        <v>48</v>
      </c>
      <c r="J117" t="s">
        <v>107</v>
      </c>
      <c r="K117" t="str">
        <f t="shared" si="15"/>
        <v>Tech</v>
      </c>
      <c r="L117" t="str">
        <f t="shared" si="16"/>
        <v>Tech</v>
      </c>
      <c r="M117" t="s">
        <v>50</v>
      </c>
      <c r="N117" t="str">
        <f t="shared" si="17"/>
        <v>R</v>
      </c>
      <c r="O117" t="str">
        <f t="shared" si="18"/>
        <v>R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tr">
        <f t="shared" si="19"/>
        <v>Better Salary</v>
      </c>
      <c r="Y117" t="str">
        <f t="shared" si="20"/>
        <v>Better Salary</v>
      </c>
      <c r="Z117" t="s">
        <v>41</v>
      </c>
      <c r="AA117">
        <v>25</v>
      </c>
      <c r="AB117" t="s">
        <v>42</v>
      </c>
      <c r="AC117" t="str">
        <f t="shared" si="21"/>
        <v>United States</v>
      </c>
      <c r="AD117" t="str">
        <f t="shared" si="22"/>
        <v>United States</v>
      </c>
      <c r="AE117" t="s">
        <v>241</v>
      </c>
      <c r="AF117" t="s">
        <v>43</v>
      </c>
      <c r="AG117" t="str">
        <f t="shared" si="12"/>
        <v>White or Caucasian</v>
      </c>
      <c r="AH117" t="str">
        <f t="shared" si="23"/>
        <v>White or Caucasian</v>
      </c>
    </row>
    <row r="118" spans="1:34" x14ac:dyDescent="0.25">
      <c r="A118" t="s">
        <v>441</v>
      </c>
      <c r="B118" t="s">
        <v>30</v>
      </c>
      <c r="C118" t="s">
        <v>442</v>
      </c>
      <c r="D118" t="s">
        <v>158</v>
      </c>
      <c r="E118" t="s">
        <v>81</v>
      </c>
      <c r="F118" t="str">
        <f t="shared" si="13"/>
        <v>Data Scientist</v>
      </c>
      <c r="G118" t="str">
        <f t="shared" si="14"/>
        <v>Data Scientist</v>
      </c>
      <c r="H118" t="s">
        <v>47</v>
      </c>
      <c r="I118" t="s">
        <v>91</v>
      </c>
      <c r="J118" t="s">
        <v>49</v>
      </c>
      <c r="K118" t="str">
        <f t="shared" si="15"/>
        <v>Finance</v>
      </c>
      <c r="L118" t="str">
        <f t="shared" si="16"/>
        <v>Finance</v>
      </c>
      <c r="M118" t="s">
        <v>38</v>
      </c>
      <c r="N118" t="str">
        <f t="shared" si="17"/>
        <v>Python</v>
      </c>
      <c r="O118" t="str">
        <f t="shared" si="18"/>
        <v>Python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tr">
        <f t="shared" si="19"/>
        <v>Better Salary</v>
      </c>
      <c r="Y118" t="str">
        <f t="shared" si="20"/>
        <v>Better Salary</v>
      </c>
      <c r="Z118" t="s">
        <v>41</v>
      </c>
      <c r="AA118">
        <v>22</v>
      </c>
      <c r="AB118" t="s">
        <v>42</v>
      </c>
      <c r="AC118" t="str">
        <f t="shared" si="21"/>
        <v>United States</v>
      </c>
      <c r="AD118" t="str">
        <f t="shared" si="22"/>
        <v>United States</v>
      </c>
      <c r="AE118" t="s">
        <v>241</v>
      </c>
      <c r="AF118" t="s">
        <v>43</v>
      </c>
      <c r="AG118" t="str">
        <f t="shared" si="12"/>
        <v>White or Caucasian</v>
      </c>
      <c r="AH118" t="str">
        <f t="shared" si="23"/>
        <v>White or Caucasian</v>
      </c>
    </row>
    <row r="119" spans="1:34" x14ac:dyDescent="0.25">
      <c r="A119" t="s">
        <v>443</v>
      </c>
      <c r="B119" t="s">
        <v>30</v>
      </c>
      <c r="C119" t="s">
        <v>442</v>
      </c>
      <c r="D119" t="s">
        <v>269</v>
      </c>
      <c r="E119" t="s">
        <v>34</v>
      </c>
      <c r="F119" t="str">
        <f t="shared" si="13"/>
        <v>Data Analyst</v>
      </c>
      <c r="G119" t="str">
        <f t="shared" si="14"/>
        <v>Data Analyst</v>
      </c>
      <c r="H119" t="s">
        <v>47</v>
      </c>
      <c r="I119" t="s">
        <v>57</v>
      </c>
      <c r="J119" t="s">
        <v>444</v>
      </c>
      <c r="K119" t="str">
        <f t="shared" si="15"/>
        <v>Customer Service</v>
      </c>
      <c r="L119" t="str">
        <f t="shared" si="16"/>
        <v>Others</v>
      </c>
      <c r="M119" t="s">
        <v>38</v>
      </c>
      <c r="N119" t="str">
        <f t="shared" si="17"/>
        <v>Python</v>
      </c>
      <c r="O119" t="str">
        <f t="shared" si="18"/>
        <v>Python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tr">
        <f t="shared" si="19"/>
        <v>Better Salary</v>
      </c>
      <c r="Y119" t="str">
        <f t="shared" si="20"/>
        <v>Better Salary</v>
      </c>
      <c r="Z119" t="s">
        <v>41</v>
      </c>
      <c r="AA119">
        <v>23</v>
      </c>
      <c r="AB119" t="s">
        <v>265</v>
      </c>
      <c r="AC119" t="str">
        <f t="shared" si="21"/>
        <v>Colombia</v>
      </c>
      <c r="AD119" t="str">
        <f t="shared" si="22"/>
        <v>Others</v>
      </c>
      <c r="AE119" t="s">
        <v>231</v>
      </c>
      <c r="AF119" t="s">
        <v>95</v>
      </c>
      <c r="AG119" t="str">
        <f t="shared" si="12"/>
        <v>Hispanic or Latino</v>
      </c>
      <c r="AH119" t="str">
        <f t="shared" si="23"/>
        <v>Hispanic or Latino</v>
      </c>
    </row>
    <row r="120" spans="1:34" x14ac:dyDescent="0.25">
      <c r="A120" t="s">
        <v>445</v>
      </c>
      <c r="B120" t="s">
        <v>30</v>
      </c>
      <c r="C120" t="s">
        <v>446</v>
      </c>
      <c r="D120" t="s">
        <v>303</v>
      </c>
      <c r="E120" t="s">
        <v>56</v>
      </c>
      <c r="F120" t="str">
        <f t="shared" si="13"/>
        <v>Data Engineer</v>
      </c>
      <c r="G120" t="str">
        <f t="shared" si="14"/>
        <v>Data Engineer</v>
      </c>
      <c r="H120" t="s">
        <v>35</v>
      </c>
      <c r="I120" t="s">
        <v>48</v>
      </c>
      <c r="J120" t="s">
        <v>447</v>
      </c>
      <c r="K120" t="str">
        <f t="shared" si="15"/>
        <v>Ecom</v>
      </c>
      <c r="L120" t="str">
        <f t="shared" si="16"/>
        <v>Others</v>
      </c>
      <c r="M120" t="s">
        <v>208</v>
      </c>
      <c r="N120" t="str">
        <f t="shared" si="17"/>
        <v>JavaScript</v>
      </c>
      <c r="O120" t="str">
        <f t="shared" si="18"/>
        <v>JavaScript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tr">
        <f t="shared" si="19"/>
        <v>Good Culture</v>
      </c>
      <c r="Y120" t="str">
        <f t="shared" si="20"/>
        <v>Good Culture</v>
      </c>
      <c r="Z120" t="s">
        <v>41</v>
      </c>
      <c r="AA120">
        <v>25</v>
      </c>
      <c r="AB120" t="s">
        <v>448</v>
      </c>
      <c r="AC120" t="str">
        <f t="shared" si="21"/>
        <v>Egypt</v>
      </c>
      <c r="AD120" t="str">
        <f t="shared" si="22"/>
        <v>Egypt</v>
      </c>
      <c r="AE120" t="s">
        <v>231</v>
      </c>
      <c r="AF120" t="s">
        <v>449</v>
      </c>
      <c r="AG120" t="str">
        <f t="shared" si="12"/>
        <v>Middleeas</v>
      </c>
      <c r="AH120" t="str">
        <f t="shared" si="23"/>
        <v>Others</v>
      </c>
    </row>
    <row r="121" spans="1:34" x14ac:dyDescent="0.25">
      <c r="A121" t="s">
        <v>450</v>
      </c>
      <c r="B121" t="s">
        <v>30</v>
      </c>
      <c r="C121" t="s">
        <v>446</v>
      </c>
      <c r="D121" t="s">
        <v>130</v>
      </c>
      <c r="E121" t="s">
        <v>56</v>
      </c>
      <c r="F121" t="str">
        <f t="shared" si="13"/>
        <v>Data Engineer</v>
      </c>
      <c r="G121" t="str">
        <f t="shared" si="14"/>
        <v>Data Engineer</v>
      </c>
      <c r="H121" t="s">
        <v>35</v>
      </c>
      <c r="I121" t="s">
        <v>98</v>
      </c>
      <c r="J121" t="s">
        <v>451</v>
      </c>
      <c r="K121" t="str">
        <f t="shared" si="15"/>
        <v>Consulti</v>
      </c>
      <c r="L121" t="str">
        <f t="shared" si="16"/>
        <v>Others</v>
      </c>
      <c r="M121" t="s">
        <v>38</v>
      </c>
      <c r="N121" t="str">
        <f t="shared" si="17"/>
        <v>Python</v>
      </c>
      <c r="O121" t="str">
        <f t="shared" si="18"/>
        <v>Python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tr">
        <f t="shared" si="19"/>
        <v>Better Salary</v>
      </c>
      <c r="Y121" t="str">
        <f t="shared" si="20"/>
        <v>Better Salary</v>
      </c>
      <c r="Z121" t="s">
        <v>41</v>
      </c>
      <c r="AA121">
        <v>45</v>
      </c>
      <c r="AB121" t="s">
        <v>51</v>
      </c>
      <c r="AC121" t="str">
        <f t="shared" si="21"/>
        <v>Canada</v>
      </c>
      <c r="AD121" t="str">
        <f t="shared" si="22"/>
        <v>Canada</v>
      </c>
      <c r="AE121" t="s">
        <v>244</v>
      </c>
      <c r="AF121" t="s">
        <v>43</v>
      </c>
      <c r="AG121" t="str">
        <f t="shared" si="12"/>
        <v>White or Caucasian</v>
      </c>
      <c r="AH121" t="str">
        <f t="shared" si="23"/>
        <v>White or Caucasian</v>
      </c>
    </row>
    <row r="122" spans="1:34" x14ac:dyDescent="0.25">
      <c r="A122" t="s">
        <v>452</v>
      </c>
      <c r="B122" t="s">
        <v>30</v>
      </c>
      <c r="C122" t="s">
        <v>453</v>
      </c>
      <c r="D122" t="s">
        <v>97</v>
      </c>
      <c r="E122" t="s">
        <v>34</v>
      </c>
      <c r="F122" t="str">
        <f t="shared" si="13"/>
        <v>Data Analyst</v>
      </c>
      <c r="G122" t="str">
        <f t="shared" si="14"/>
        <v>Data Analyst</v>
      </c>
      <c r="H122" t="s">
        <v>35</v>
      </c>
      <c r="I122" t="s">
        <v>98</v>
      </c>
      <c r="J122" t="s">
        <v>37</v>
      </c>
      <c r="K122" t="str">
        <f t="shared" si="15"/>
        <v>Healthcare</v>
      </c>
      <c r="L122" t="str">
        <f t="shared" si="16"/>
        <v>Healthcare</v>
      </c>
      <c r="M122" t="s">
        <v>454</v>
      </c>
      <c r="N122" t="str">
        <f t="shared" si="17"/>
        <v>Excel/SQL</v>
      </c>
      <c r="O122" t="str">
        <f t="shared" si="18"/>
        <v>Others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tr">
        <f t="shared" si="19"/>
        <v>Good Work/Life Balance</v>
      </c>
      <c r="Y122" t="str">
        <f t="shared" si="20"/>
        <v>Good Work/Life Balance</v>
      </c>
      <c r="Z122" t="s">
        <v>41</v>
      </c>
      <c r="AA122">
        <v>24</v>
      </c>
      <c r="AB122" t="s">
        <v>42</v>
      </c>
      <c r="AC122" t="str">
        <f t="shared" si="21"/>
        <v>United States</v>
      </c>
      <c r="AD122" t="str">
        <f t="shared" si="22"/>
        <v>United States</v>
      </c>
      <c r="AE122" t="s">
        <v>241</v>
      </c>
      <c r="AF122" t="s">
        <v>43</v>
      </c>
      <c r="AG122" t="str">
        <f t="shared" si="12"/>
        <v>White or Caucasian</v>
      </c>
      <c r="AH122" t="str">
        <f t="shared" si="23"/>
        <v>White or Caucasian</v>
      </c>
    </row>
    <row r="123" spans="1:34" x14ac:dyDescent="0.25">
      <c r="A123" t="s">
        <v>455</v>
      </c>
      <c r="B123" t="s">
        <v>30</v>
      </c>
      <c r="C123" t="s">
        <v>453</v>
      </c>
      <c r="D123" t="s">
        <v>456</v>
      </c>
      <c r="E123" t="s">
        <v>127</v>
      </c>
      <c r="F123" t="str">
        <f t="shared" si="13"/>
        <v>Student/Looking/None</v>
      </c>
      <c r="G123" t="str">
        <f t="shared" si="14"/>
        <v>Student/Looking/None</v>
      </c>
      <c r="H123" t="s">
        <v>47</v>
      </c>
      <c r="I123" t="s">
        <v>57</v>
      </c>
      <c r="J123" t="s">
        <v>457</v>
      </c>
      <c r="K123" t="str">
        <f t="shared" si="15"/>
        <v>State Government</v>
      </c>
      <c r="L123" t="str">
        <f t="shared" si="16"/>
        <v>Others</v>
      </c>
      <c r="M123" t="s">
        <v>50</v>
      </c>
      <c r="N123" t="str">
        <f t="shared" si="17"/>
        <v>R</v>
      </c>
      <c r="O123" t="str">
        <f t="shared" si="18"/>
        <v>R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tr">
        <f t="shared" si="19"/>
        <v>Better Salary</v>
      </c>
      <c r="Y123" t="str">
        <f t="shared" si="20"/>
        <v>Better Salary</v>
      </c>
      <c r="Z123" t="s">
        <v>41</v>
      </c>
      <c r="AA123">
        <v>25</v>
      </c>
      <c r="AB123" t="s">
        <v>42</v>
      </c>
      <c r="AC123" t="str">
        <f t="shared" si="21"/>
        <v>United States</v>
      </c>
      <c r="AD123" t="str">
        <f t="shared" si="22"/>
        <v>United States</v>
      </c>
      <c r="AE123" t="s">
        <v>32</v>
      </c>
      <c r="AF123" t="s">
        <v>62</v>
      </c>
      <c r="AG123" t="str">
        <f t="shared" si="12"/>
        <v>Black or African American</v>
      </c>
      <c r="AH123" t="str">
        <f t="shared" si="23"/>
        <v>Black or African American</v>
      </c>
    </row>
    <row r="124" spans="1:34" x14ac:dyDescent="0.25">
      <c r="A124" t="s">
        <v>458</v>
      </c>
      <c r="B124" t="s">
        <v>30</v>
      </c>
      <c r="C124" t="s">
        <v>459</v>
      </c>
      <c r="D124" t="s">
        <v>340</v>
      </c>
      <c r="E124" t="s">
        <v>34</v>
      </c>
      <c r="F124" t="str">
        <f t="shared" si="13"/>
        <v>Data Analyst</v>
      </c>
      <c r="G124" t="str">
        <f t="shared" si="14"/>
        <v>Data Analyst</v>
      </c>
      <c r="H124" t="s">
        <v>35</v>
      </c>
      <c r="I124" t="s">
        <v>98</v>
      </c>
      <c r="J124" t="s">
        <v>344</v>
      </c>
      <c r="K124" t="str">
        <f t="shared" si="15"/>
        <v>Marketing</v>
      </c>
      <c r="L124" t="str">
        <f t="shared" si="16"/>
        <v>Others</v>
      </c>
      <c r="M124" t="s">
        <v>38</v>
      </c>
      <c r="N124" t="str">
        <f t="shared" si="17"/>
        <v>Python</v>
      </c>
      <c r="O124" t="str">
        <f t="shared" si="18"/>
        <v>Python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tr">
        <f t="shared" si="19"/>
        <v>Good Work/Life Balance</v>
      </c>
      <c r="Y124" t="str">
        <f t="shared" si="20"/>
        <v>Good Work/Life Balance</v>
      </c>
      <c r="Z124" t="s">
        <v>41</v>
      </c>
      <c r="AA124">
        <v>26</v>
      </c>
      <c r="AB124" t="s">
        <v>42</v>
      </c>
      <c r="AC124" t="str">
        <f t="shared" si="21"/>
        <v>United States</v>
      </c>
      <c r="AD124" t="str">
        <f t="shared" si="22"/>
        <v>United States</v>
      </c>
      <c r="AE124" t="s">
        <v>241</v>
      </c>
      <c r="AF124" t="s">
        <v>43</v>
      </c>
      <c r="AG124" t="str">
        <f t="shared" si="12"/>
        <v>White or Caucasian</v>
      </c>
      <c r="AH124" t="str">
        <f t="shared" si="23"/>
        <v>White or Caucasian</v>
      </c>
    </row>
    <row r="125" spans="1:34" x14ac:dyDescent="0.25">
      <c r="A125" t="s">
        <v>460</v>
      </c>
      <c r="B125" t="s">
        <v>30</v>
      </c>
      <c r="C125" t="s">
        <v>461</v>
      </c>
      <c r="D125" t="s">
        <v>337</v>
      </c>
      <c r="E125" t="s">
        <v>34</v>
      </c>
      <c r="F125" t="str">
        <f t="shared" si="13"/>
        <v>Data Analyst</v>
      </c>
      <c r="G125" t="str">
        <f t="shared" si="14"/>
        <v>Data Analyst</v>
      </c>
      <c r="H125" t="s">
        <v>47</v>
      </c>
      <c r="I125" t="s">
        <v>48</v>
      </c>
      <c r="J125" t="s">
        <v>107</v>
      </c>
      <c r="K125" t="str">
        <f t="shared" si="15"/>
        <v>Tech</v>
      </c>
      <c r="L125" t="str">
        <f t="shared" si="16"/>
        <v>Tech</v>
      </c>
      <c r="M125" t="s">
        <v>50</v>
      </c>
      <c r="N125" t="str">
        <f t="shared" si="17"/>
        <v>R</v>
      </c>
      <c r="O125" t="str">
        <f t="shared" si="18"/>
        <v>R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tr">
        <f t="shared" si="19"/>
        <v>Better Salary</v>
      </c>
      <c r="Y125" t="str">
        <f t="shared" si="20"/>
        <v>Better Salary</v>
      </c>
      <c r="Z125" t="s">
        <v>41</v>
      </c>
      <c r="AA125">
        <v>23</v>
      </c>
      <c r="AB125" t="s">
        <v>51</v>
      </c>
      <c r="AC125" t="str">
        <f t="shared" si="21"/>
        <v>Canada</v>
      </c>
      <c r="AD125" t="str">
        <f t="shared" si="22"/>
        <v>Canada</v>
      </c>
      <c r="AE125" t="s">
        <v>241</v>
      </c>
      <c r="AF125" t="s">
        <v>52</v>
      </c>
      <c r="AG125" t="str">
        <f t="shared" si="12"/>
        <v>Asian or Asian American</v>
      </c>
      <c r="AH125" t="str">
        <f t="shared" si="23"/>
        <v>Asian or Asian American</v>
      </c>
    </row>
    <row r="126" spans="1:34" x14ac:dyDescent="0.25">
      <c r="A126" t="s">
        <v>462</v>
      </c>
      <c r="B126" t="s">
        <v>30</v>
      </c>
      <c r="C126" t="s">
        <v>463</v>
      </c>
      <c r="D126" t="s">
        <v>175</v>
      </c>
      <c r="E126" t="s">
        <v>127</v>
      </c>
      <c r="F126" t="str">
        <f t="shared" si="13"/>
        <v>Student/Looking/None</v>
      </c>
      <c r="G126" t="str">
        <f t="shared" si="14"/>
        <v>Student/Looking/None</v>
      </c>
      <c r="H126" t="s">
        <v>35</v>
      </c>
      <c r="I126" t="s">
        <v>57</v>
      </c>
      <c r="J126" t="s">
        <v>464</v>
      </c>
      <c r="K126" t="str">
        <f t="shared" si="15"/>
        <v>Culture</v>
      </c>
      <c r="L126" t="str">
        <f t="shared" si="16"/>
        <v>Others</v>
      </c>
      <c r="M126" t="s">
        <v>38</v>
      </c>
      <c r="N126" t="str">
        <f t="shared" si="17"/>
        <v>Python</v>
      </c>
      <c r="O126" t="str">
        <f t="shared" si="18"/>
        <v>Python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tr">
        <f t="shared" si="19"/>
        <v>Remote Work</v>
      </c>
      <c r="Y126" t="str">
        <f t="shared" si="20"/>
        <v>Remote Work</v>
      </c>
      <c r="Z126" t="s">
        <v>69</v>
      </c>
      <c r="AA126">
        <v>42</v>
      </c>
      <c r="AB126" t="s">
        <v>113</v>
      </c>
      <c r="AC126" t="str">
        <f t="shared" si="21"/>
        <v>United Kingdom</v>
      </c>
      <c r="AD126" t="str">
        <f t="shared" si="22"/>
        <v>United Kingdom</v>
      </c>
      <c r="AE126" t="s">
        <v>244</v>
      </c>
      <c r="AF126" t="s">
        <v>43</v>
      </c>
      <c r="AG126" t="str">
        <f t="shared" si="12"/>
        <v>White or Caucasian</v>
      </c>
      <c r="AH126" t="str">
        <f t="shared" si="23"/>
        <v>White or Caucasian</v>
      </c>
    </row>
    <row r="127" spans="1:34" x14ac:dyDescent="0.25">
      <c r="A127" t="s">
        <v>465</v>
      </c>
      <c r="B127" t="s">
        <v>30</v>
      </c>
      <c r="C127" t="s">
        <v>466</v>
      </c>
      <c r="D127" t="s">
        <v>46</v>
      </c>
      <c r="E127" t="s">
        <v>467</v>
      </c>
      <c r="F127" t="str">
        <f t="shared" si="13"/>
        <v>Educator</v>
      </c>
      <c r="G127" t="str">
        <f t="shared" si="14"/>
        <v>Others</v>
      </c>
      <c r="H127" t="s">
        <v>35</v>
      </c>
      <c r="I127" t="s">
        <v>48</v>
      </c>
      <c r="J127" t="s">
        <v>112</v>
      </c>
      <c r="K127" t="str">
        <f t="shared" si="15"/>
        <v>Education</v>
      </c>
      <c r="L127" t="str">
        <f t="shared" si="16"/>
        <v>Education</v>
      </c>
      <c r="M127" t="s">
        <v>468</v>
      </c>
      <c r="N127" t="str">
        <f t="shared" si="17"/>
        <v>unknown</v>
      </c>
      <c r="O127" t="str">
        <f t="shared" si="18"/>
        <v>Others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tr">
        <f t="shared" si="19"/>
        <v>Good Work/Life Balance</v>
      </c>
      <c r="Y127" t="str">
        <f t="shared" si="20"/>
        <v>Good Work/Life Balance</v>
      </c>
      <c r="Z127" t="s">
        <v>69</v>
      </c>
      <c r="AA127">
        <v>42</v>
      </c>
      <c r="AB127" t="s">
        <v>42</v>
      </c>
      <c r="AC127" t="str">
        <f t="shared" si="21"/>
        <v>United States</v>
      </c>
      <c r="AD127" t="str">
        <f t="shared" si="22"/>
        <v>United States</v>
      </c>
      <c r="AE127" t="s">
        <v>241</v>
      </c>
      <c r="AF127" t="s">
        <v>62</v>
      </c>
      <c r="AG127" t="str">
        <f t="shared" si="12"/>
        <v>Black or African American</v>
      </c>
      <c r="AH127" t="str">
        <f t="shared" si="23"/>
        <v>Black or African American</v>
      </c>
    </row>
    <row r="128" spans="1:34" x14ac:dyDescent="0.25">
      <c r="A128" t="s">
        <v>469</v>
      </c>
      <c r="B128" t="s">
        <v>30</v>
      </c>
      <c r="C128" t="s">
        <v>470</v>
      </c>
      <c r="D128" t="s">
        <v>471</v>
      </c>
      <c r="E128" t="s">
        <v>270</v>
      </c>
      <c r="F128" t="str">
        <f t="shared" si="13"/>
        <v>Business Analyst</v>
      </c>
      <c r="G128" t="str">
        <f t="shared" si="14"/>
        <v>Business Analyst</v>
      </c>
      <c r="H128" t="s">
        <v>47</v>
      </c>
      <c r="I128" t="s">
        <v>57</v>
      </c>
      <c r="J128" t="s">
        <v>107</v>
      </c>
      <c r="K128" t="str">
        <f t="shared" si="15"/>
        <v>Tech</v>
      </c>
      <c r="L128" t="str">
        <f t="shared" si="16"/>
        <v>Tech</v>
      </c>
      <c r="M128" t="s">
        <v>38</v>
      </c>
      <c r="N128" t="str">
        <f t="shared" si="17"/>
        <v>Python</v>
      </c>
      <c r="O128" t="str">
        <f t="shared" si="18"/>
        <v>Python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tr">
        <f t="shared" si="19"/>
        <v>Better Salary</v>
      </c>
      <c r="Y128" t="str">
        <f t="shared" si="20"/>
        <v>Better Salary</v>
      </c>
      <c r="Z128" t="s">
        <v>41</v>
      </c>
      <c r="AA128">
        <v>25</v>
      </c>
      <c r="AB128" t="s">
        <v>151</v>
      </c>
      <c r="AC128" t="str">
        <f t="shared" si="21"/>
        <v>India</v>
      </c>
      <c r="AD128" t="str">
        <f t="shared" si="22"/>
        <v>India</v>
      </c>
      <c r="AE128" t="s">
        <v>244</v>
      </c>
      <c r="AF128" t="s">
        <v>52</v>
      </c>
      <c r="AG128" t="str">
        <f t="shared" si="12"/>
        <v>Asian or Asian American</v>
      </c>
      <c r="AH128" t="str">
        <f t="shared" si="23"/>
        <v>Asian or Asian American</v>
      </c>
    </row>
    <row r="129" spans="1:34" x14ac:dyDescent="0.25">
      <c r="A129" t="s">
        <v>472</v>
      </c>
      <c r="B129" t="s">
        <v>30</v>
      </c>
      <c r="C129" t="s">
        <v>473</v>
      </c>
      <c r="D129" t="s">
        <v>474</v>
      </c>
      <c r="E129" t="s">
        <v>34</v>
      </c>
      <c r="F129" t="str">
        <f t="shared" si="13"/>
        <v>Data Analyst</v>
      </c>
      <c r="G129" t="str">
        <f t="shared" si="14"/>
        <v>Data Analyst</v>
      </c>
      <c r="H129" t="s">
        <v>35</v>
      </c>
      <c r="I129" t="s">
        <v>91</v>
      </c>
      <c r="J129" t="s">
        <v>107</v>
      </c>
      <c r="K129" t="str">
        <f t="shared" si="15"/>
        <v>Tech</v>
      </c>
      <c r="L129" t="str">
        <f t="shared" si="16"/>
        <v>Tech</v>
      </c>
      <c r="M129" t="s">
        <v>50</v>
      </c>
      <c r="N129" t="str">
        <f t="shared" si="17"/>
        <v>R</v>
      </c>
      <c r="O129" t="str">
        <f t="shared" si="18"/>
        <v>R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tr">
        <f t="shared" si="19"/>
        <v>Remote Work</v>
      </c>
      <c r="Y129" t="str">
        <f t="shared" si="20"/>
        <v>Remote Work</v>
      </c>
      <c r="Z129" t="s">
        <v>41</v>
      </c>
      <c r="AA129">
        <v>38</v>
      </c>
      <c r="AB129" t="s">
        <v>42</v>
      </c>
      <c r="AC129" t="str">
        <f t="shared" si="21"/>
        <v>United States</v>
      </c>
      <c r="AD129" t="str">
        <f t="shared" si="22"/>
        <v>United States</v>
      </c>
      <c r="AE129" t="s">
        <v>244</v>
      </c>
      <c r="AF129" t="s">
        <v>43</v>
      </c>
      <c r="AG129" t="str">
        <f t="shared" si="12"/>
        <v>White or Caucasian</v>
      </c>
      <c r="AH129" t="str">
        <f t="shared" si="23"/>
        <v>White or Caucasian</v>
      </c>
    </row>
    <row r="130" spans="1:34" x14ac:dyDescent="0.25">
      <c r="A130" t="s">
        <v>475</v>
      </c>
      <c r="B130" t="s">
        <v>30</v>
      </c>
      <c r="C130" t="s">
        <v>473</v>
      </c>
      <c r="D130" t="s">
        <v>476</v>
      </c>
      <c r="E130" t="s">
        <v>477</v>
      </c>
      <c r="F130" t="str">
        <f t="shared" si="13"/>
        <v>Business Intelligence Engineer</v>
      </c>
      <c r="G130" t="str">
        <f t="shared" si="14"/>
        <v>Others</v>
      </c>
      <c r="H130" t="s">
        <v>47</v>
      </c>
      <c r="I130" t="s">
        <v>57</v>
      </c>
      <c r="J130" t="s">
        <v>107</v>
      </c>
      <c r="K130" t="str">
        <f t="shared" si="15"/>
        <v>Tech</v>
      </c>
      <c r="L130" t="str">
        <f t="shared" si="16"/>
        <v>Tech</v>
      </c>
      <c r="M130" t="s">
        <v>38</v>
      </c>
      <c r="N130" t="str">
        <f t="shared" si="17"/>
        <v>Python</v>
      </c>
      <c r="O130" t="str">
        <f t="shared" si="18"/>
        <v>Python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tr">
        <f t="shared" si="19"/>
        <v>Better Salary</v>
      </c>
      <c r="Y130" t="str">
        <f t="shared" si="20"/>
        <v>Better Salary</v>
      </c>
      <c r="Z130" t="s">
        <v>41</v>
      </c>
      <c r="AA130">
        <v>24</v>
      </c>
      <c r="AB130" t="s">
        <v>407</v>
      </c>
      <c r="AC130" t="str">
        <f t="shared" si="21"/>
        <v>Costa Rica</v>
      </c>
      <c r="AD130" t="str">
        <f t="shared" si="22"/>
        <v>Costa Rica</v>
      </c>
      <c r="AE130" t="s">
        <v>241</v>
      </c>
      <c r="AF130" t="s">
        <v>95</v>
      </c>
      <c r="AG130" t="str">
        <f t="shared" ref="AG130:AG193" si="24">IF(ISNUMBER(SEARCH("other",AF130)),IF(TRIM(MID(AF130, FIND(")",AF130)+1, LEN(AF130)))="", "Other", TRIM(MID(AF130, FIND(":",AF130)+1, LEN(AF130)))),AF130)</f>
        <v>Hispanic or Latino</v>
      </c>
      <c r="AH130" t="str">
        <f t="shared" si="23"/>
        <v>Hispanic or Latino</v>
      </c>
    </row>
    <row r="131" spans="1:34" x14ac:dyDescent="0.25">
      <c r="A131" t="s">
        <v>478</v>
      </c>
      <c r="B131" t="s">
        <v>30</v>
      </c>
      <c r="C131" t="s">
        <v>479</v>
      </c>
      <c r="D131" t="s">
        <v>175</v>
      </c>
      <c r="E131" t="s">
        <v>34</v>
      </c>
      <c r="F131" t="str">
        <f t="shared" ref="F131:F194" si="25">IF(ISNUMBER(SEARCH("other",E131)),IF(TRIM(MID(E131, FIND(")",E131)+1, LEN(E131)))="", "Other", TRIM(MID(E131, FIND(":",E131)+1, LEN(E131)))),E131)</f>
        <v>Data Analyst</v>
      </c>
      <c r="G131" t="str">
        <f t="shared" ref="G131:G194" si="26">IF(COUNTIF(F:F,F131)&lt;5,"Others",F131)</f>
        <v>Data Analyst</v>
      </c>
      <c r="H131" t="s">
        <v>35</v>
      </c>
      <c r="I131" t="s">
        <v>98</v>
      </c>
      <c r="J131" t="s">
        <v>112</v>
      </c>
      <c r="K131" t="str">
        <f t="shared" ref="K131:K194" si="27">IF(ISNUMBER(SEARCH("other",J131)),IF(TRIM(MID(J131, FIND(")",J131)+1, LEN(J131)))="", "Other", TRIM(MID(J131, FIND(":",J131)+1, LEN(J131)))),J131)</f>
        <v>Education</v>
      </c>
      <c r="L131" t="str">
        <f t="shared" ref="L131:L194" si="28">IF(COUNTIF(K:K,K131)&lt;10,"Others",K131)</f>
        <v>Education</v>
      </c>
      <c r="M131" t="s">
        <v>50</v>
      </c>
      <c r="N131" t="str">
        <f t="shared" ref="N131:N194" si="29">IF(ISNUMBER(SEARCH("other",M131)),IF(TRIM(MID(M131, FIND("Other",M131)+1, LEN(M131)))="", "Other", TRIM(MID(M131, FIND(":",M131)+1, LEN(M131)))),M131)</f>
        <v>R</v>
      </c>
      <c r="O131" t="str">
        <f t="shared" ref="O131:O194" si="30">IF(COUNTIF(N:N,N131)&lt;5,"Others",N131)</f>
        <v>R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tr">
        <f t="shared" ref="X131:X194" si="31">IF(ISNUMBER(SEARCH("other",W131)),IF(TRIM(MID(W131, FIND(")",W131)+1, LEN(W131)))="", "Other", TRIM(MID(W131, FIND(":",W131)+1, LEN(W131)))),W131)</f>
        <v>Good Work/Life Balance</v>
      </c>
      <c r="Y131" t="str">
        <f t="shared" ref="Y131:Y194" si="32">IF(COUNTIF(X:X,X131)&lt;5,"Others",X131)</f>
        <v>Good Work/Life Balance</v>
      </c>
      <c r="Z131" t="s">
        <v>41</v>
      </c>
      <c r="AA131">
        <v>28</v>
      </c>
      <c r="AB131" t="s">
        <v>42</v>
      </c>
      <c r="AC131" t="str">
        <f t="shared" ref="AC131:AC194" si="33">IF(ISNUMBER(SEARCH("other",AB131)),IF(TRIM(MID(AB131, FIND(")",AB131)+1, LEN(AB131)))="", "Other", TRIM(MID(AB131, FIND(":",AB131)+1, LEN(AB131)))),AB131)</f>
        <v>United States</v>
      </c>
      <c r="AD131" t="str">
        <f t="shared" ref="AD131:AD194" si="34">IF(COUNTIF(AC:AC,AC131)&lt;5,"Others",AC131)</f>
        <v>United States</v>
      </c>
      <c r="AE131" t="s">
        <v>241</v>
      </c>
      <c r="AF131" t="s">
        <v>43</v>
      </c>
      <c r="AG131" t="str">
        <f t="shared" si="24"/>
        <v>White or Caucasian</v>
      </c>
      <c r="AH131" t="str">
        <f t="shared" ref="AH131:AH194" si="35">IF(COUNTIF(AG:AG,AG131)&lt;5,"Others",AG131)</f>
        <v>White or Caucasian</v>
      </c>
    </row>
    <row r="132" spans="1:34" x14ac:dyDescent="0.25">
      <c r="A132" t="s">
        <v>480</v>
      </c>
      <c r="B132" t="s">
        <v>30</v>
      </c>
      <c r="C132" t="s">
        <v>481</v>
      </c>
      <c r="D132" t="s">
        <v>123</v>
      </c>
      <c r="E132" t="s">
        <v>34</v>
      </c>
      <c r="F132" t="str">
        <f t="shared" si="25"/>
        <v>Data Analyst</v>
      </c>
      <c r="G132" t="str">
        <f t="shared" si="26"/>
        <v>Data Analyst</v>
      </c>
      <c r="H132" t="s">
        <v>47</v>
      </c>
      <c r="I132" t="s">
        <v>48</v>
      </c>
      <c r="J132" t="s">
        <v>37</v>
      </c>
      <c r="K132" t="str">
        <f t="shared" si="27"/>
        <v>Healthcare</v>
      </c>
      <c r="L132" t="str">
        <f t="shared" si="28"/>
        <v>Healthcare</v>
      </c>
      <c r="M132" t="s">
        <v>38</v>
      </c>
      <c r="N132" t="str">
        <f t="shared" si="29"/>
        <v>Python</v>
      </c>
      <c r="O132" t="str">
        <f t="shared" si="30"/>
        <v>Python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tr">
        <f t="shared" si="31"/>
        <v>Better Salary</v>
      </c>
      <c r="Y132" t="str">
        <f t="shared" si="32"/>
        <v>Better Salary</v>
      </c>
      <c r="Z132" t="s">
        <v>41</v>
      </c>
      <c r="AA132">
        <v>21</v>
      </c>
      <c r="AB132" t="s">
        <v>42</v>
      </c>
      <c r="AC132" t="str">
        <f t="shared" si="33"/>
        <v>United States</v>
      </c>
      <c r="AD132" t="str">
        <f t="shared" si="34"/>
        <v>United States</v>
      </c>
      <c r="AE132" t="s">
        <v>241</v>
      </c>
      <c r="AF132" t="s">
        <v>52</v>
      </c>
      <c r="AG132" t="str">
        <f t="shared" si="24"/>
        <v>Asian or Asian American</v>
      </c>
      <c r="AH132" t="str">
        <f t="shared" si="35"/>
        <v>Asian or Asian American</v>
      </c>
    </row>
    <row r="133" spans="1:34" x14ac:dyDescent="0.25">
      <c r="A133" t="s">
        <v>482</v>
      </c>
      <c r="B133" t="s">
        <v>30</v>
      </c>
      <c r="C133" t="s">
        <v>481</v>
      </c>
      <c r="D133" t="s">
        <v>483</v>
      </c>
      <c r="E133" t="s">
        <v>34</v>
      </c>
      <c r="F133" t="str">
        <f t="shared" si="25"/>
        <v>Data Analyst</v>
      </c>
      <c r="G133" t="str">
        <f t="shared" si="26"/>
        <v>Data Analyst</v>
      </c>
      <c r="H133" t="s">
        <v>35</v>
      </c>
      <c r="I133" t="s">
        <v>36</v>
      </c>
      <c r="J133" t="s">
        <v>37</v>
      </c>
      <c r="K133" t="str">
        <f t="shared" si="27"/>
        <v>Healthcare</v>
      </c>
      <c r="L133" t="str">
        <f t="shared" si="28"/>
        <v>Healthcare</v>
      </c>
      <c r="M133" t="s">
        <v>50</v>
      </c>
      <c r="N133" t="str">
        <f t="shared" si="29"/>
        <v>R</v>
      </c>
      <c r="O133" t="str">
        <f t="shared" si="30"/>
        <v>R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tr">
        <f t="shared" si="31"/>
        <v>Good Culture</v>
      </c>
      <c r="Y133" t="str">
        <f t="shared" si="32"/>
        <v>Good Culture</v>
      </c>
      <c r="Z133" t="s">
        <v>41</v>
      </c>
      <c r="AA133">
        <v>39</v>
      </c>
      <c r="AB133" t="s">
        <v>42</v>
      </c>
      <c r="AC133" t="str">
        <f t="shared" si="33"/>
        <v>United States</v>
      </c>
      <c r="AD133" t="str">
        <f t="shared" si="34"/>
        <v>United States</v>
      </c>
      <c r="AE133" t="s">
        <v>244</v>
      </c>
      <c r="AF133" t="s">
        <v>43</v>
      </c>
      <c r="AG133" t="str">
        <f t="shared" si="24"/>
        <v>White or Caucasian</v>
      </c>
      <c r="AH133" t="str">
        <f t="shared" si="35"/>
        <v>White or Caucasian</v>
      </c>
    </row>
    <row r="134" spans="1:34" x14ac:dyDescent="0.25">
      <c r="A134" t="s">
        <v>484</v>
      </c>
      <c r="B134" t="s">
        <v>30</v>
      </c>
      <c r="C134" t="s">
        <v>485</v>
      </c>
      <c r="D134" t="s">
        <v>486</v>
      </c>
      <c r="E134" t="s">
        <v>34</v>
      </c>
      <c r="F134" t="str">
        <f t="shared" si="25"/>
        <v>Data Analyst</v>
      </c>
      <c r="G134" t="str">
        <f t="shared" si="26"/>
        <v>Data Analyst</v>
      </c>
      <c r="H134" t="s">
        <v>35</v>
      </c>
      <c r="I134" t="s">
        <v>57</v>
      </c>
      <c r="J134" t="s">
        <v>107</v>
      </c>
      <c r="K134" t="str">
        <f t="shared" si="27"/>
        <v>Tech</v>
      </c>
      <c r="L134" t="str">
        <f t="shared" si="28"/>
        <v>Tech</v>
      </c>
      <c r="M134" t="s">
        <v>38</v>
      </c>
      <c r="N134" t="str">
        <f t="shared" si="29"/>
        <v>Python</v>
      </c>
      <c r="O134" t="str">
        <f t="shared" si="30"/>
        <v>Python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tr">
        <f t="shared" si="31"/>
        <v>Good Work/Life Balance</v>
      </c>
      <c r="Y134" t="str">
        <f t="shared" si="32"/>
        <v>Good Work/Life Balance</v>
      </c>
      <c r="Z134" t="s">
        <v>41</v>
      </c>
      <c r="AA134">
        <v>23</v>
      </c>
      <c r="AB134" t="s">
        <v>487</v>
      </c>
      <c r="AC134" t="str">
        <f t="shared" si="33"/>
        <v>Pakistan</v>
      </c>
      <c r="AD134" t="str">
        <f t="shared" si="34"/>
        <v>Others</v>
      </c>
      <c r="AE134" t="s">
        <v>241</v>
      </c>
      <c r="AF134" t="s">
        <v>52</v>
      </c>
      <c r="AG134" t="str">
        <f t="shared" si="24"/>
        <v>Asian or Asian American</v>
      </c>
      <c r="AH134" t="str">
        <f t="shared" si="35"/>
        <v>Asian or Asian American</v>
      </c>
    </row>
    <row r="135" spans="1:34" x14ac:dyDescent="0.25">
      <c r="A135" t="s">
        <v>488</v>
      </c>
      <c r="B135" t="s">
        <v>30</v>
      </c>
      <c r="C135" t="s">
        <v>485</v>
      </c>
      <c r="D135" t="s">
        <v>489</v>
      </c>
      <c r="E135" t="s">
        <v>34</v>
      </c>
      <c r="F135" t="str">
        <f t="shared" si="25"/>
        <v>Data Analyst</v>
      </c>
      <c r="G135" t="str">
        <f t="shared" si="26"/>
        <v>Data Analyst</v>
      </c>
      <c r="H135" t="s">
        <v>47</v>
      </c>
      <c r="I135" t="s">
        <v>57</v>
      </c>
      <c r="J135" t="s">
        <v>490</v>
      </c>
      <c r="K135" t="str">
        <f t="shared" si="27"/>
        <v>Government</v>
      </c>
      <c r="L135" t="str">
        <f t="shared" si="28"/>
        <v>Others</v>
      </c>
      <c r="M135" t="s">
        <v>50</v>
      </c>
      <c r="N135" t="str">
        <f t="shared" si="29"/>
        <v>R</v>
      </c>
      <c r="O135" t="str">
        <f t="shared" si="30"/>
        <v>R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tr">
        <f t="shared" si="31"/>
        <v>Good Work/Life Balance</v>
      </c>
      <c r="Y135" t="str">
        <f t="shared" si="32"/>
        <v>Good Work/Life Balance</v>
      </c>
      <c r="Z135" t="s">
        <v>69</v>
      </c>
      <c r="AA135">
        <v>23</v>
      </c>
      <c r="AB135" t="s">
        <v>203</v>
      </c>
      <c r="AC135" t="str">
        <f t="shared" si="33"/>
        <v>Australia</v>
      </c>
      <c r="AD135" t="str">
        <f t="shared" si="34"/>
        <v>Australia</v>
      </c>
      <c r="AE135" t="s">
        <v>241</v>
      </c>
      <c r="AF135" t="s">
        <v>43</v>
      </c>
      <c r="AG135" t="str">
        <f t="shared" si="24"/>
        <v>White or Caucasian</v>
      </c>
      <c r="AH135" t="str">
        <f t="shared" si="35"/>
        <v>White or Caucasian</v>
      </c>
    </row>
    <row r="136" spans="1:34" x14ac:dyDescent="0.25">
      <c r="A136" t="s">
        <v>491</v>
      </c>
      <c r="B136" t="s">
        <v>30</v>
      </c>
      <c r="C136" t="s">
        <v>485</v>
      </c>
      <c r="D136" t="s">
        <v>206</v>
      </c>
      <c r="E136" t="s">
        <v>34</v>
      </c>
      <c r="F136" t="str">
        <f t="shared" si="25"/>
        <v>Data Analyst</v>
      </c>
      <c r="G136" t="str">
        <f t="shared" si="26"/>
        <v>Data Analyst</v>
      </c>
      <c r="H136" t="s">
        <v>35</v>
      </c>
      <c r="I136" t="s">
        <v>98</v>
      </c>
      <c r="J136" t="s">
        <v>430</v>
      </c>
      <c r="K136" t="str">
        <f t="shared" si="27"/>
        <v>Distribution</v>
      </c>
      <c r="L136" t="str">
        <f t="shared" si="28"/>
        <v>Others</v>
      </c>
      <c r="M136" t="s">
        <v>50</v>
      </c>
      <c r="N136" t="str">
        <f t="shared" si="29"/>
        <v>R</v>
      </c>
      <c r="O136" t="str">
        <f t="shared" si="30"/>
        <v>R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tr">
        <f t="shared" si="31"/>
        <v>Good Work/Life Balance</v>
      </c>
      <c r="Y136" t="str">
        <f t="shared" si="32"/>
        <v>Good Work/Life Balance</v>
      </c>
      <c r="Z136" t="s">
        <v>41</v>
      </c>
      <c r="AA136">
        <v>30</v>
      </c>
      <c r="AB136" t="s">
        <v>42</v>
      </c>
      <c r="AC136" t="str">
        <f t="shared" si="33"/>
        <v>United States</v>
      </c>
      <c r="AD136" t="str">
        <f t="shared" si="34"/>
        <v>United States</v>
      </c>
      <c r="AE136" t="s">
        <v>244</v>
      </c>
      <c r="AF136" t="s">
        <v>43</v>
      </c>
      <c r="AG136" t="str">
        <f t="shared" si="24"/>
        <v>White or Caucasian</v>
      </c>
      <c r="AH136" t="str">
        <f t="shared" si="35"/>
        <v>White or Caucasian</v>
      </c>
    </row>
    <row r="137" spans="1:34" x14ac:dyDescent="0.25">
      <c r="A137" t="s">
        <v>492</v>
      </c>
      <c r="B137" t="s">
        <v>30</v>
      </c>
      <c r="C137" t="s">
        <v>493</v>
      </c>
      <c r="D137" t="s">
        <v>494</v>
      </c>
      <c r="E137" t="s">
        <v>34</v>
      </c>
      <c r="F137" t="str">
        <f t="shared" si="25"/>
        <v>Data Analyst</v>
      </c>
      <c r="G137" t="str">
        <f t="shared" si="26"/>
        <v>Data Analyst</v>
      </c>
      <c r="H137" t="s">
        <v>47</v>
      </c>
      <c r="I137" t="s">
        <v>48</v>
      </c>
      <c r="J137" t="s">
        <v>495</v>
      </c>
      <c r="K137" t="str">
        <f t="shared" si="27"/>
        <v>Manufacturing</v>
      </c>
      <c r="L137" t="str">
        <f t="shared" si="28"/>
        <v>Others</v>
      </c>
      <c r="M137" t="s">
        <v>38</v>
      </c>
      <c r="N137" t="str">
        <f t="shared" si="29"/>
        <v>Python</v>
      </c>
      <c r="O137" t="str">
        <f t="shared" si="30"/>
        <v>Python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tr">
        <f t="shared" si="31"/>
        <v>Better Salary</v>
      </c>
      <c r="Y137" t="str">
        <f t="shared" si="32"/>
        <v>Better Salary</v>
      </c>
      <c r="Z137" t="s">
        <v>41</v>
      </c>
      <c r="AA137">
        <v>26</v>
      </c>
      <c r="AB137" t="s">
        <v>496</v>
      </c>
      <c r="AC137" t="str">
        <f t="shared" si="33"/>
        <v>Ireland</v>
      </c>
      <c r="AD137" t="str">
        <f t="shared" si="34"/>
        <v>Others</v>
      </c>
      <c r="AE137" t="s">
        <v>244</v>
      </c>
      <c r="AF137" t="s">
        <v>43</v>
      </c>
      <c r="AG137" t="str">
        <f t="shared" si="24"/>
        <v>White or Caucasian</v>
      </c>
      <c r="AH137" t="str">
        <f t="shared" si="35"/>
        <v>White or Caucasian</v>
      </c>
    </row>
    <row r="138" spans="1:34" x14ac:dyDescent="0.25">
      <c r="A138" t="s">
        <v>497</v>
      </c>
      <c r="B138" t="s">
        <v>30</v>
      </c>
      <c r="C138" t="s">
        <v>493</v>
      </c>
      <c r="D138" t="s">
        <v>55</v>
      </c>
      <c r="E138" t="s">
        <v>34</v>
      </c>
      <c r="F138" t="str">
        <f t="shared" si="25"/>
        <v>Data Analyst</v>
      </c>
      <c r="G138" t="str">
        <f t="shared" si="26"/>
        <v>Data Analyst</v>
      </c>
      <c r="H138" t="s">
        <v>35</v>
      </c>
      <c r="I138" t="s">
        <v>48</v>
      </c>
      <c r="J138" t="s">
        <v>37</v>
      </c>
      <c r="K138" t="str">
        <f t="shared" si="27"/>
        <v>Healthcare</v>
      </c>
      <c r="L138" t="str">
        <f t="shared" si="28"/>
        <v>Healthcare</v>
      </c>
      <c r="M138" t="s">
        <v>50</v>
      </c>
      <c r="N138" t="str">
        <f t="shared" si="29"/>
        <v>R</v>
      </c>
      <c r="O138" t="str">
        <f t="shared" si="30"/>
        <v>R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tr">
        <f t="shared" si="31"/>
        <v>Better Salary</v>
      </c>
      <c r="Y138" t="str">
        <f t="shared" si="32"/>
        <v>Better Salary</v>
      </c>
      <c r="Z138" t="s">
        <v>41</v>
      </c>
      <c r="AA138">
        <v>37</v>
      </c>
      <c r="AB138" t="s">
        <v>42</v>
      </c>
      <c r="AC138" t="str">
        <f t="shared" si="33"/>
        <v>United States</v>
      </c>
      <c r="AD138" t="str">
        <f t="shared" si="34"/>
        <v>United States</v>
      </c>
      <c r="AE138" t="s">
        <v>241</v>
      </c>
      <c r="AF138" t="s">
        <v>43</v>
      </c>
      <c r="AG138" t="str">
        <f t="shared" si="24"/>
        <v>White or Caucasian</v>
      </c>
      <c r="AH138" t="str">
        <f t="shared" si="35"/>
        <v>White or Caucasian</v>
      </c>
    </row>
    <row r="139" spans="1:34" x14ac:dyDescent="0.25">
      <c r="A139" t="s">
        <v>498</v>
      </c>
      <c r="B139" t="s">
        <v>30</v>
      </c>
      <c r="C139" t="s">
        <v>499</v>
      </c>
      <c r="D139" t="s">
        <v>348</v>
      </c>
      <c r="E139" t="s">
        <v>34</v>
      </c>
      <c r="F139" t="str">
        <f t="shared" si="25"/>
        <v>Data Analyst</v>
      </c>
      <c r="G139" t="str">
        <f t="shared" si="26"/>
        <v>Data Analyst</v>
      </c>
      <c r="H139" t="s">
        <v>35</v>
      </c>
      <c r="I139" t="s">
        <v>98</v>
      </c>
      <c r="J139" t="s">
        <v>37</v>
      </c>
      <c r="K139" t="str">
        <f t="shared" si="27"/>
        <v>Healthcare</v>
      </c>
      <c r="L139" t="str">
        <f t="shared" si="28"/>
        <v>Healthcare</v>
      </c>
      <c r="M139" t="s">
        <v>38</v>
      </c>
      <c r="N139" t="str">
        <f t="shared" si="29"/>
        <v>Python</v>
      </c>
      <c r="O139" t="str">
        <f t="shared" si="30"/>
        <v>Python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tr">
        <f t="shared" si="31"/>
        <v>Better Salary</v>
      </c>
      <c r="Y139" t="str">
        <f t="shared" si="32"/>
        <v>Better Salary</v>
      </c>
      <c r="Z139" t="s">
        <v>69</v>
      </c>
      <c r="AA139">
        <v>31</v>
      </c>
      <c r="AB139" t="s">
        <v>42</v>
      </c>
      <c r="AC139" t="str">
        <f t="shared" si="33"/>
        <v>United States</v>
      </c>
      <c r="AD139" t="str">
        <f t="shared" si="34"/>
        <v>United States</v>
      </c>
      <c r="AE139" t="s">
        <v>241</v>
      </c>
      <c r="AF139" t="s">
        <v>43</v>
      </c>
      <c r="AG139" t="str">
        <f t="shared" si="24"/>
        <v>White or Caucasian</v>
      </c>
      <c r="AH139" t="str">
        <f t="shared" si="35"/>
        <v>White or Caucasian</v>
      </c>
    </row>
    <row r="140" spans="1:34" x14ac:dyDescent="0.25">
      <c r="A140" t="s">
        <v>500</v>
      </c>
      <c r="B140" t="s">
        <v>30</v>
      </c>
      <c r="C140" t="s">
        <v>501</v>
      </c>
      <c r="D140" t="s">
        <v>206</v>
      </c>
      <c r="E140" t="s">
        <v>34</v>
      </c>
      <c r="F140" t="str">
        <f t="shared" si="25"/>
        <v>Data Analyst</v>
      </c>
      <c r="G140" t="str">
        <f t="shared" si="26"/>
        <v>Data Analyst</v>
      </c>
      <c r="H140" t="s">
        <v>35</v>
      </c>
      <c r="I140" t="s">
        <v>57</v>
      </c>
      <c r="J140" t="s">
        <v>49</v>
      </c>
      <c r="K140" t="str">
        <f t="shared" si="27"/>
        <v>Finance</v>
      </c>
      <c r="L140" t="str">
        <f t="shared" si="28"/>
        <v>Finance</v>
      </c>
      <c r="M140" t="s">
        <v>261</v>
      </c>
      <c r="N140" t="str">
        <f t="shared" si="29"/>
        <v>C/C++</v>
      </c>
      <c r="O140" t="str">
        <f t="shared" si="30"/>
        <v>C/C++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tr">
        <f t="shared" si="31"/>
        <v>Good Work/Life Balance</v>
      </c>
      <c r="Y140" t="str">
        <f t="shared" si="32"/>
        <v>Good Work/Life Balance</v>
      </c>
      <c r="Z140" t="s">
        <v>69</v>
      </c>
      <c r="AA140">
        <v>25</v>
      </c>
      <c r="AB140" t="s">
        <v>251</v>
      </c>
      <c r="AC140" t="str">
        <f t="shared" si="33"/>
        <v>South Africa</v>
      </c>
      <c r="AD140" t="str">
        <f t="shared" si="34"/>
        <v>Others</v>
      </c>
      <c r="AE140" t="s">
        <v>241</v>
      </c>
      <c r="AF140" t="s">
        <v>62</v>
      </c>
      <c r="AG140" t="str">
        <f t="shared" si="24"/>
        <v>Black or African American</v>
      </c>
      <c r="AH140" t="str">
        <f t="shared" si="35"/>
        <v>Black or African American</v>
      </c>
    </row>
    <row r="141" spans="1:34" x14ac:dyDescent="0.25">
      <c r="A141" t="s">
        <v>502</v>
      </c>
      <c r="B141" t="s">
        <v>30</v>
      </c>
      <c r="C141" t="s">
        <v>503</v>
      </c>
      <c r="D141" t="s">
        <v>269</v>
      </c>
      <c r="E141" t="s">
        <v>34</v>
      </c>
      <c r="F141" t="str">
        <f t="shared" si="25"/>
        <v>Data Analyst</v>
      </c>
      <c r="G141" t="str">
        <f t="shared" si="26"/>
        <v>Data Analyst</v>
      </c>
      <c r="H141" t="s">
        <v>35</v>
      </c>
      <c r="I141" t="s">
        <v>57</v>
      </c>
      <c r="J141" t="s">
        <v>37</v>
      </c>
      <c r="K141" t="str">
        <f t="shared" si="27"/>
        <v>Healthcare</v>
      </c>
      <c r="L141" t="str">
        <f t="shared" si="28"/>
        <v>Healthcare</v>
      </c>
      <c r="M141" t="s">
        <v>38</v>
      </c>
      <c r="N141" t="str">
        <f t="shared" si="29"/>
        <v>Python</v>
      </c>
      <c r="O141" t="str">
        <f t="shared" si="30"/>
        <v>Python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tr">
        <f t="shared" si="31"/>
        <v>Better Salary</v>
      </c>
      <c r="Y141" t="str">
        <f t="shared" si="32"/>
        <v>Better Salary</v>
      </c>
      <c r="Z141" t="s">
        <v>69</v>
      </c>
      <c r="AA141">
        <v>26</v>
      </c>
      <c r="AB141" t="s">
        <v>504</v>
      </c>
      <c r="AC141" t="str">
        <f t="shared" si="33"/>
        <v>Poland</v>
      </c>
      <c r="AD141" t="str">
        <f t="shared" si="34"/>
        <v>Poland</v>
      </c>
      <c r="AE141" t="s">
        <v>241</v>
      </c>
      <c r="AF141" t="s">
        <v>43</v>
      </c>
      <c r="AG141" t="str">
        <f t="shared" si="24"/>
        <v>White or Caucasian</v>
      </c>
      <c r="AH141" t="str">
        <f t="shared" si="35"/>
        <v>White or Caucasian</v>
      </c>
    </row>
    <row r="142" spans="1:34" x14ac:dyDescent="0.25">
      <c r="A142" t="s">
        <v>505</v>
      </c>
      <c r="B142" t="s">
        <v>30</v>
      </c>
      <c r="C142" t="s">
        <v>506</v>
      </c>
      <c r="D142" t="s">
        <v>301</v>
      </c>
      <c r="E142" t="s">
        <v>34</v>
      </c>
      <c r="F142" t="str">
        <f t="shared" si="25"/>
        <v>Data Analyst</v>
      </c>
      <c r="G142" t="str">
        <f t="shared" si="26"/>
        <v>Data Analyst</v>
      </c>
      <c r="H142" t="s">
        <v>35</v>
      </c>
      <c r="I142" t="s">
        <v>98</v>
      </c>
      <c r="J142" t="s">
        <v>37</v>
      </c>
      <c r="K142" t="str">
        <f t="shared" si="27"/>
        <v>Healthcare</v>
      </c>
      <c r="L142" t="str">
        <f t="shared" si="28"/>
        <v>Healthcare</v>
      </c>
      <c r="M142" t="s">
        <v>88</v>
      </c>
      <c r="N142" t="str">
        <f t="shared" si="29"/>
        <v>SQL</v>
      </c>
      <c r="O142" t="str">
        <f t="shared" si="30"/>
        <v>SQL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tr">
        <f t="shared" si="31"/>
        <v>Better Salary</v>
      </c>
      <c r="Y142" t="str">
        <f t="shared" si="32"/>
        <v>Better Salary</v>
      </c>
      <c r="Z142" t="s">
        <v>41</v>
      </c>
      <c r="AA142">
        <v>30</v>
      </c>
      <c r="AB142" t="s">
        <v>42</v>
      </c>
      <c r="AC142" t="str">
        <f t="shared" si="33"/>
        <v>United States</v>
      </c>
      <c r="AD142" t="str">
        <f t="shared" si="34"/>
        <v>United States</v>
      </c>
      <c r="AE142" t="s">
        <v>241</v>
      </c>
      <c r="AF142" t="s">
        <v>43</v>
      </c>
      <c r="AG142" t="str">
        <f t="shared" si="24"/>
        <v>White or Caucasian</v>
      </c>
      <c r="AH142" t="str">
        <f t="shared" si="35"/>
        <v>White or Caucasian</v>
      </c>
    </row>
    <row r="143" spans="1:34" x14ac:dyDescent="0.25">
      <c r="A143" t="s">
        <v>507</v>
      </c>
      <c r="B143" t="s">
        <v>30</v>
      </c>
      <c r="C143" t="s">
        <v>506</v>
      </c>
      <c r="D143" t="s">
        <v>508</v>
      </c>
      <c r="E143" t="s">
        <v>34</v>
      </c>
      <c r="F143" t="str">
        <f t="shared" si="25"/>
        <v>Data Analyst</v>
      </c>
      <c r="G143" t="str">
        <f t="shared" si="26"/>
        <v>Data Analyst</v>
      </c>
      <c r="H143" t="s">
        <v>35</v>
      </c>
      <c r="I143" t="s">
        <v>98</v>
      </c>
      <c r="J143" t="s">
        <v>107</v>
      </c>
      <c r="K143" t="str">
        <f t="shared" si="27"/>
        <v>Tech</v>
      </c>
      <c r="L143" t="str">
        <f t="shared" si="28"/>
        <v>Tech</v>
      </c>
      <c r="M143" t="s">
        <v>38</v>
      </c>
      <c r="N143" t="str">
        <f t="shared" si="29"/>
        <v>Python</v>
      </c>
      <c r="O143" t="str">
        <f t="shared" si="30"/>
        <v>Python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tr">
        <f t="shared" si="31"/>
        <v>Better Salary</v>
      </c>
      <c r="Y143" t="str">
        <f t="shared" si="32"/>
        <v>Better Salary</v>
      </c>
      <c r="Z143" t="s">
        <v>69</v>
      </c>
      <c r="AA143">
        <v>39</v>
      </c>
      <c r="AB143" t="s">
        <v>42</v>
      </c>
      <c r="AC143" t="str">
        <f t="shared" si="33"/>
        <v>United States</v>
      </c>
      <c r="AD143" t="str">
        <f t="shared" si="34"/>
        <v>United States</v>
      </c>
      <c r="AE143" t="s">
        <v>241</v>
      </c>
      <c r="AF143" t="s">
        <v>62</v>
      </c>
      <c r="AG143" t="str">
        <f t="shared" si="24"/>
        <v>Black or African American</v>
      </c>
      <c r="AH143" t="str">
        <f t="shared" si="35"/>
        <v>Black or African American</v>
      </c>
    </row>
    <row r="144" spans="1:34" x14ac:dyDescent="0.25">
      <c r="A144" t="s">
        <v>509</v>
      </c>
      <c r="B144" t="s">
        <v>30</v>
      </c>
      <c r="C144" t="s">
        <v>510</v>
      </c>
      <c r="D144" t="s">
        <v>511</v>
      </c>
      <c r="E144" t="s">
        <v>512</v>
      </c>
      <c r="F144" t="str">
        <f t="shared" si="25"/>
        <v>Research Associate</v>
      </c>
      <c r="G144" t="str">
        <f t="shared" si="26"/>
        <v>Others</v>
      </c>
      <c r="H144" t="s">
        <v>47</v>
      </c>
      <c r="I144" t="s">
        <v>57</v>
      </c>
      <c r="J144" t="s">
        <v>112</v>
      </c>
      <c r="K144" t="str">
        <f t="shared" si="27"/>
        <v>Education</v>
      </c>
      <c r="L144" t="str">
        <f t="shared" si="28"/>
        <v>Education</v>
      </c>
      <c r="M144" t="s">
        <v>38</v>
      </c>
      <c r="N144" t="str">
        <f t="shared" si="29"/>
        <v>Python</v>
      </c>
      <c r="O144" t="str">
        <f t="shared" si="30"/>
        <v>Python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tr">
        <f t="shared" si="31"/>
        <v>Good Work/Life Balance</v>
      </c>
      <c r="Y144" t="str">
        <f t="shared" si="32"/>
        <v>Good Work/Life Balance</v>
      </c>
      <c r="Z144" t="s">
        <v>69</v>
      </c>
      <c r="AA144">
        <v>28</v>
      </c>
      <c r="AB144" t="s">
        <v>151</v>
      </c>
      <c r="AC144" t="str">
        <f t="shared" si="33"/>
        <v>India</v>
      </c>
      <c r="AD144" t="str">
        <f t="shared" si="34"/>
        <v>India</v>
      </c>
      <c r="AE144" t="s">
        <v>244</v>
      </c>
      <c r="AF144" t="s">
        <v>52</v>
      </c>
      <c r="AG144" t="str">
        <f t="shared" si="24"/>
        <v>Asian or Asian American</v>
      </c>
      <c r="AH144" t="str">
        <f t="shared" si="35"/>
        <v>Asian or Asian American</v>
      </c>
    </row>
    <row r="145" spans="1:34" x14ac:dyDescent="0.25">
      <c r="A145" t="s">
        <v>513</v>
      </c>
      <c r="B145" t="s">
        <v>30</v>
      </c>
      <c r="C145" t="s">
        <v>514</v>
      </c>
      <c r="D145" t="s">
        <v>273</v>
      </c>
      <c r="E145" t="s">
        <v>34</v>
      </c>
      <c r="F145" t="str">
        <f t="shared" si="25"/>
        <v>Data Analyst</v>
      </c>
      <c r="G145" t="str">
        <f t="shared" si="26"/>
        <v>Data Analyst</v>
      </c>
      <c r="H145" t="s">
        <v>35</v>
      </c>
      <c r="I145" t="s">
        <v>98</v>
      </c>
      <c r="J145" t="s">
        <v>49</v>
      </c>
      <c r="K145" t="str">
        <f t="shared" si="27"/>
        <v>Finance</v>
      </c>
      <c r="L145" t="str">
        <f t="shared" si="28"/>
        <v>Finance</v>
      </c>
      <c r="M145" t="s">
        <v>88</v>
      </c>
      <c r="N145" t="str">
        <f t="shared" si="29"/>
        <v>SQL</v>
      </c>
      <c r="O145" t="str">
        <f t="shared" si="30"/>
        <v>SQL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tr">
        <f t="shared" si="31"/>
        <v>Good Work/Life Balance</v>
      </c>
      <c r="Y145" t="str">
        <f t="shared" si="32"/>
        <v>Good Work/Life Balance</v>
      </c>
      <c r="Z145" t="s">
        <v>41</v>
      </c>
      <c r="AA145">
        <v>22</v>
      </c>
      <c r="AB145" t="s">
        <v>42</v>
      </c>
      <c r="AC145" t="str">
        <f t="shared" si="33"/>
        <v>United States</v>
      </c>
      <c r="AD145" t="str">
        <f t="shared" si="34"/>
        <v>United States</v>
      </c>
      <c r="AE145" t="s">
        <v>241</v>
      </c>
      <c r="AF145" t="s">
        <v>515</v>
      </c>
      <c r="AG145" t="str">
        <f t="shared" si="24"/>
        <v>Mixed ( Caucasian / African-American )</v>
      </c>
      <c r="AH145" t="str">
        <f t="shared" si="35"/>
        <v>Others</v>
      </c>
    </row>
    <row r="146" spans="1:34" x14ac:dyDescent="0.25">
      <c r="A146" t="s">
        <v>516</v>
      </c>
      <c r="B146" t="s">
        <v>30</v>
      </c>
      <c r="C146" t="s">
        <v>517</v>
      </c>
      <c r="D146" t="s">
        <v>518</v>
      </c>
      <c r="E146" t="s">
        <v>34</v>
      </c>
      <c r="F146" t="str">
        <f t="shared" si="25"/>
        <v>Data Analyst</v>
      </c>
      <c r="G146" t="str">
        <f t="shared" si="26"/>
        <v>Data Analyst</v>
      </c>
      <c r="H146" t="s">
        <v>35</v>
      </c>
      <c r="I146" t="s">
        <v>57</v>
      </c>
      <c r="J146" t="s">
        <v>94</v>
      </c>
      <c r="K146" t="str">
        <f t="shared" si="27"/>
        <v>Telecommunication</v>
      </c>
      <c r="L146" t="str">
        <f t="shared" si="28"/>
        <v>Telecommunication</v>
      </c>
      <c r="M146" t="s">
        <v>38</v>
      </c>
      <c r="N146" t="str">
        <f t="shared" si="29"/>
        <v>Python</v>
      </c>
      <c r="O146" t="str">
        <f t="shared" si="30"/>
        <v>Python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tr">
        <f t="shared" si="31"/>
        <v>Good Culture</v>
      </c>
      <c r="Y146" t="str">
        <f t="shared" si="32"/>
        <v>Good Culture</v>
      </c>
      <c r="Z146" t="s">
        <v>41</v>
      </c>
      <c r="AA146">
        <v>28</v>
      </c>
      <c r="AB146" t="s">
        <v>519</v>
      </c>
      <c r="AC146" t="str">
        <f t="shared" si="33"/>
        <v>Mozambique</v>
      </c>
      <c r="AD146" t="str">
        <f t="shared" si="34"/>
        <v>Others</v>
      </c>
      <c r="AE146" t="s">
        <v>241</v>
      </c>
      <c r="AF146" t="s">
        <v>62</v>
      </c>
      <c r="AG146" t="str">
        <f t="shared" si="24"/>
        <v>Black or African American</v>
      </c>
      <c r="AH146" t="str">
        <f t="shared" si="35"/>
        <v>Black or African American</v>
      </c>
    </row>
    <row r="147" spans="1:34" x14ac:dyDescent="0.25">
      <c r="A147" t="s">
        <v>520</v>
      </c>
      <c r="B147" t="s">
        <v>30</v>
      </c>
      <c r="C147" t="s">
        <v>521</v>
      </c>
      <c r="D147" t="s">
        <v>254</v>
      </c>
      <c r="E147" t="s">
        <v>522</v>
      </c>
      <c r="F147" t="str">
        <f t="shared" si="25"/>
        <v>Analytics Manager</v>
      </c>
      <c r="G147" t="str">
        <f t="shared" si="26"/>
        <v>Others</v>
      </c>
      <c r="H147" t="s">
        <v>47</v>
      </c>
      <c r="I147" t="s">
        <v>67</v>
      </c>
      <c r="J147" t="s">
        <v>107</v>
      </c>
      <c r="K147" t="str">
        <f t="shared" si="27"/>
        <v>Tech</v>
      </c>
      <c r="L147" t="str">
        <f t="shared" si="28"/>
        <v>Tech</v>
      </c>
      <c r="M147" t="s">
        <v>50</v>
      </c>
      <c r="N147" t="str">
        <f t="shared" si="29"/>
        <v>R</v>
      </c>
      <c r="O147" t="str">
        <f t="shared" si="30"/>
        <v>R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tr">
        <f t="shared" si="31"/>
        <v>Remote Work</v>
      </c>
      <c r="Y147" t="str">
        <f t="shared" si="32"/>
        <v>Remote Work</v>
      </c>
      <c r="Z147" t="s">
        <v>41</v>
      </c>
      <c r="AA147">
        <v>33</v>
      </c>
      <c r="AB147" t="s">
        <v>42</v>
      </c>
      <c r="AC147" t="str">
        <f t="shared" si="33"/>
        <v>United States</v>
      </c>
      <c r="AD147" t="str">
        <f t="shared" si="34"/>
        <v>United States</v>
      </c>
      <c r="AE147" t="s">
        <v>244</v>
      </c>
      <c r="AF147" t="s">
        <v>43</v>
      </c>
      <c r="AG147" t="str">
        <f t="shared" si="24"/>
        <v>White or Caucasian</v>
      </c>
      <c r="AH147" t="str">
        <f t="shared" si="35"/>
        <v>White or Caucasian</v>
      </c>
    </row>
    <row r="148" spans="1:34" x14ac:dyDescent="0.25">
      <c r="A148" t="s">
        <v>523</v>
      </c>
      <c r="B148" t="s">
        <v>30</v>
      </c>
      <c r="C148" t="s">
        <v>524</v>
      </c>
      <c r="D148" t="s">
        <v>525</v>
      </c>
      <c r="E148" t="s">
        <v>34</v>
      </c>
      <c r="F148" t="str">
        <f t="shared" si="25"/>
        <v>Data Analyst</v>
      </c>
      <c r="G148" t="str">
        <f t="shared" si="26"/>
        <v>Data Analyst</v>
      </c>
      <c r="H148" t="s">
        <v>35</v>
      </c>
      <c r="I148" t="s">
        <v>57</v>
      </c>
      <c r="J148" t="s">
        <v>49</v>
      </c>
      <c r="K148" t="str">
        <f t="shared" si="27"/>
        <v>Finance</v>
      </c>
      <c r="L148" t="str">
        <f t="shared" si="28"/>
        <v>Finance</v>
      </c>
      <c r="M148" t="s">
        <v>526</v>
      </c>
      <c r="N148" t="str">
        <f t="shared" si="29"/>
        <v>SQL Postgres</v>
      </c>
      <c r="O148" t="str">
        <f t="shared" si="30"/>
        <v>Others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tr">
        <f t="shared" si="31"/>
        <v>Good Work/Life Balance</v>
      </c>
      <c r="Y148" t="str">
        <f t="shared" si="32"/>
        <v>Good Work/Life Balance</v>
      </c>
      <c r="Z148" t="s">
        <v>69</v>
      </c>
      <c r="AA148">
        <v>22</v>
      </c>
      <c r="AB148" t="s">
        <v>527</v>
      </c>
      <c r="AC148" t="str">
        <f t="shared" si="33"/>
        <v>Egypt</v>
      </c>
      <c r="AD148" t="str">
        <f t="shared" si="34"/>
        <v>Egypt</v>
      </c>
      <c r="AE148" t="s">
        <v>241</v>
      </c>
      <c r="AF148" t="s">
        <v>528</v>
      </c>
      <c r="AG148" t="str">
        <f t="shared" si="24"/>
        <v>Half Asian half African</v>
      </c>
      <c r="AH148" t="str">
        <f t="shared" si="35"/>
        <v>Others</v>
      </c>
    </row>
    <row r="149" spans="1:34" x14ac:dyDescent="0.25">
      <c r="A149" t="s">
        <v>529</v>
      </c>
      <c r="B149" t="s">
        <v>30</v>
      </c>
      <c r="C149" t="s">
        <v>530</v>
      </c>
      <c r="D149" t="s">
        <v>531</v>
      </c>
      <c r="E149" t="s">
        <v>127</v>
      </c>
      <c r="F149" t="str">
        <f t="shared" si="25"/>
        <v>Student/Looking/None</v>
      </c>
      <c r="G149" t="str">
        <f t="shared" si="26"/>
        <v>Student/Looking/None</v>
      </c>
      <c r="H149" t="s">
        <v>47</v>
      </c>
      <c r="I149" t="s">
        <v>57</v>
      </c>
      <c r="J149" t="s">
        <v>107</v>
      </c>
      <c r="K149" t="str">
        <f t="shared" si="27"/>
        <v>Tech</v>
      </c>
      <c r="L149" t="str">
        <f t="shared" si="28"/>
        <v>Tech</v>
      </c>
      <c r="M149" t="s">
        <v>38</v>
      </c>
      <c r="N149" t="str">
        <f t="shared" si="29"/>
        <v>Python</v>
      </c>
      <c r="O149" t="str">
        <f t="shared" si="30"/>
        <v>Python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tr">
        <f t="shared" si="31"/>
        <v>Better Salary</v>
      </c>
      <c r="Y149" t="str">
        <f t="shared" si="32"/>
        <v>Better Salary</v>
      </c>
      <c r="Z149" t="s">
        <v>41</v>
      </c>
      <c r="AA149">
        <v>27</v>
      </c>
      <c r="AB149" t="s">
        <v>151</v>
      </c>
      <c r="AC149" t="str">
        <f t="shared" si="33"/>
        <v>India</v>
      </c>
      <c r="AD149" t="str">
        <f t="shared" si="34"/>
        <v>India</v>
      </c>
      <c r="AE149" t="s">
        <v>241</v>
      </c>
      <c r="AF149" t="s">
        <v>532</v>
      </c>
      <c r="AG149" t="str">
        <f t="shared" si="24"/>
        <v>Brown</v>
      </c>
      <c r="AH149" t="str">
        <f t="shared" si="35"/>
        <v>Others</v>
      </c>
    </row>
    <row r="150" spans="1:34" x14ac:dyDescent="0.25">
      <c r="A150" t="s">
        <v>533</v>
      </c>
      <c r="B150" t="s">
        <v>30</v>
      </c>
      <c r="C150" t="s">
        <v>534</v>
      </c>
      <c r="D150" t="s">
        <v>535</v>
      </c>
      <c r="E150" t="s">
        <v>34</v>
      </c>
      <c r="F150" t="str">
        <f t="shared" si="25"/>
        <v>Data Analyst</v>
      </c>
      <c r="G150" t="str">
        <f t="shared" si="26"/>
        <v>Data Analyst</v>
      </c>
      <c r="H150" t="s">
        <v>35</v>
      </c>
      <c r="I150" t="s">
        <v>36</v>
      </c>
      <c r="J150" t="s">
        <v>536</v>
      </c>
      <c r="K150" t="str">
        <f t="shared" si="27"/>
        <v>Cons</v>
      </c>
      <c r="L150" t="str">
        <f t="shared" si="28"/>
        <v>Others</v>
      </c>
      <c r="M150" t="s">
        <v>537</v>
      </c>
      <c r="N150" t="str">
        <f t="shared" si="29"/>
        <v>DAX</v>
      </c>
      <c r="O150" t="str">
        <f t="shared" si="30"/>
        <v>DAX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tr">
        <f t="shared" si="31"/>
        <v>Good Work/Life Balance</v>
      </c>
      <c r="Y150" t="str">
        <f t="shared" si="32"/>
        <v>Good Work/Life Balance</v>
      </c>
      <c r="Z150" t="s">
        <v>41</v>
      </c>
      <c r="AA150">
        <v>37</v>
      </c>
      <c r="AB150" t="s">
        <v>42</v>
      </c>
      <c r="AC150" t="str">
        <f t="shared" si="33"/>
        <v>United States</v>
      </c>
      <c r="AD150" t="str">
        <f t="shared" si="34"/>
        <v>United States</v>
      </c>
      <c r="AE150" t="s">
        <v>241</v>
      </c>
      <c r="AF150" t="s">
        <v>538</v>
      </c>
      <c r="AG150" t="str">
        <f t="shared" si="24"/>
        <v>Prefer not to ans</v>
      </c>
      <c r="AH150" t="str">
        <f t="shared" si="35"/>
        <v>Others</v>
      </c>
    </row>
    <row r="151" spans="1:34" x14ac:dyDescent="0.25">
      <c r="A151" t="s">
        <v>539</v>
      </c>
      <c r="B151" t="s">
        <v>30</v>
      </c>
      <c r="C151" t="s">
        <v>534</v>
      </c>
      <c r="D151" t="s">
        <v>540</v>
      </c>
      <c r="E151" t="s">
        <v>270</v>
      </c>
      <c r="F151" t="str">
        <f t="shared" si="25"/>
        <v>Business Analyst</v>
      </c>
      <c r="G151" t="str">
        <f t="shared" si="26"/>
        <v>Business Analyst</v>
      </c>
      <c r="H151" t="s">
        <v>47</v>
      </c>
      <c r="I151" t="s">
        <v>48</v>
      </c>
      <c r="J151" t="s">
        <v>541</v>
      </c>
      <c r="K151" t="str">
        <f t="shared" si="27"/>
        <v>Wholesale</v>
      </c>
      <c r="L151" t="str">
        <f t="shared" si="28"/>
        <v>Others</v>
      </c>
      <c r="M151" t="s">
        <v>50</v>
      </c>
      <c r="N151" t="str">
        <f t="shared" si="29"/>
        <v>R</v>
      </c>
      <c r="O151" t="str">
        <f t="shared" si="30"/>
        <v>R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tr">
        <f t="shared" si="31"/>
        <v>Better Salary</v>
      </c>
      <c r="Y151" t="str">
        <f t="shared" si="32"/>
        <v>Better Salary</v>
      </c>
      <c r="Z151" t="s">
        <v>41</v>
      </c>
      <c r="AA151">
        <v>24</v>
      </c>
      <c r="AB151" t="s">
        <v>42</v>
      </c>
      <c r="AC151" t="str">
        <f t="shared" si="33"/>
        <v>United States</v>
      </c>
      <c r="AD151" t="str">
        <f t="shared" si="34"/>
        <v>United States</v>
      </c>
      <c r="AE151" t="s">
        <v>244</v>
      </c>
      <c r="AF151" t="s">
        <v>43</v>
      </c>
      <c r="AG151" t="str">
        <f t="shared" si="24"/>
        <v>White or Caucasian</v>
      </c>
      <c r="AH151" t="str">
        <f t="shared" si="35"/>
        <v>White or Caucasian</v>
      </c>
    </row>
    <row r="152" spans="1:34" x14ac:dyDescent="0.25">
      <c r="A152" t="s">
        <v>542</v>
      </c>
      <c r="B152" t="s">
        <v>30</v>
      </c>
      <c r="C152" t="s">
        <v>543</v>
      </c>
      <c r="D152" t="s">
        <v>158</v>
      </c>
      <c r="E152" t="s">
        <v>34</v>
      </c>
      <c r="F152" t="str">
        <f t="shared" si="25"/>
        <v>Data Analyst</v>
      </c>
      <c r="G152" t="str">
        <f t="shared" si="26"/>
        <v>Data Analyst</v>
      </c>
      <c r="H152" t="s">
        <v>47</v>
      </c>
      <c r="I152" t="s">
        <v>48</v>
      </c>
      <c r="J152" t="s">
        <v>37</v>
      </c>
      <c r="K152" t="str">
        <f t="shared" si="27"/>
        <v>Healthcare</v>
      </c>
      <c r="L152" t="str">
        <f t="shared" si="28"/>
        <v>Healthcare</v>
      </c>
      <c r="M152" t="s">
        <v>50</v>
      </c>
      <c r="N152" t="str">
        <f t="shared" si="29"/>
        <v>R</v>
      </c>
      <c r="O152" t="str">
        <f t="shared" si="30"/>
        <v>R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tr">
        <f t="shared" si="31"/>
        <v>Better Salary</v>
      </c>
      <c r="Y152" t="str">
        <f t="shared" si="32"/>
        <v>Better Salary</v>
      </c>
      <c r="Z152" t="s">
        <v>41</v>
      </c>
      <c r="AA152">
        <v>25</v>
      </c>
      <c r="AB152" t="s">
        <v>113</v>
      </c>
      <c r="AC152" t="str">
        <f t="shared" si="33"/>
        <v>United Kingdom</v>
      </c>
      <c r="AD152" t="str">
        <f t="shared" si="34"/>
        <v>United Kingdom</v>
      </c>
      <c r="AE152" t="s">
        <v>244</v>
      </c>
      <c r="AF152" t="s">
        <v>52</v>
      </c>
      <c r="AG152" t="str">
        <f t="shared" si="24"/>
        <v>Asian or Asian American</v>
      </c>
      <c r="AH152" t="str">
        <f t="shared" si="35"/>
        <v>Asian or Asian American</v>
      </c>
    </row>
    <row r="153" spans="1:34" x14ac:dyDescent="0.25">
      <c r="A153" t="s">
        <v>544</v>
      </c>
      <c r="B153" t="s">
        <v>30</v>
      </c>
      <c r="C153" t="s">
        <v>543</v>
      </c>
      <c r="D153" t="s">
        <v>116</v>
      </c>
      <c r="E153" t="s">
        <v>56</v>
      </c>
      <c r="F153" t="str">
        <f t="shared" si="25"/>
        <v>Data Engineer</v>
      </c>
      <c r="G153" t="str">
        <f t="shared" si="26"/>
        <v>Data Engineer</v>
      </c>
      <c r="H153" t="s">
        <v>47</v>
      </c>
      <c r="I153" t="s">
        <v>91</v>
      </c>
      <c r="J153" t="s">
        <v>37</v>
      </c>
      <c r="K153" t="str">
        <f t="shared" si="27"/>
        <v>Healthcare</v>
      </c>
      <c r="L153" t="str">
        <f t="shared" si="28"/>
        <v>Healthcare</v>
      </c>
      <c r="M153" t="s">
        <v>50</v>
      </c>
      <c r="N153" t="str">
        <f t="shared" si="29"/>
        <v>R</v>
      </c>
      <c r="O153" t="str">
        <f t="shared" si="30"/>
        <v>R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tr">
        <f t="shared" si="31"/>
        <v>Good Culture</v>
      </c>
      <c r="Y153" t="str">
        <f t="shared" si="32"/>
        <v>Good Culture</v>
      </c>
      <c r="Z153" t="s">
        <v>41</v>
      </c>
      <c r="AA153">
        <v>28</v>
      </c>
      <c r="AB153" t="s">
        <v>42</v>
      </c>
      <c r="AC153" t="str">
        <f t="shared" si="33"/>
        <v>United States</v>
      </c>
      <c r="AD153" t="str">
        <f t="shared" si="34"/>
        <v>United States</v>
      </c>
      <c r="AE153" t="s">
        <v>244</v>
      </c>
      <c r="AF153" t="s">
        <v>62</v>
      </c>
      <c r="AG153" t="str">
        <f t="shared" si="24"/>
        <v>Black or African American</v>
      </c>
      <c r="AH153" t="str">
        <f t="shared" si="35"/>
        <v>Black or African American</v>
      </c>
    </row>
    <row r="154" spans="1:34" x14ac:dyDescent="0.25">
      <c r="A154" t="s">
        <v>545</v>
      </c>
      <c r="B154" t="s">
        <v>30</v>
      </c>
      <c r="C154" t="s">
        <v>546</v>
      </c>
      <c r="D154" t="s">
        <v>154</v>
      </c>
      <c r="E154" t="s">
        <v>34</v>
      </c>
      <c r="F154" t="str">
        <f t="shared" si="25"/>
        <v>Data Analyst</v>
      </c>
      <c r="G154" t="str">
        <f t="shared" si="26"/>
        <v>Data Analyst</v>
      </c>
      <c r="H154" t="s">
        <v>35</v>
      </c>
      <c r="I154" t="s">
        <v>48</v>
      </c>
      <c r="J154" t="s">
        <v>547</v>
      </c>
      <c r="K154" t="str">
        <f t="shared" si="27"/>
        <v>Energy</v>
      </c>
      <c r="L154" t="str">
        <f t="shared" si="28"/>
        <v>Others</v>
      </c>
      <c r="M154" t="s">
        <v>38</v>
      </c>
      <c r="N154" t="str">
        <f t="shared" si="29"/>
        <v>Python</v>
      </c>
      <c r="O154" t="str">
        <f t="shared" si="30"/>
        <v>Python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tr">
        <f t="shared" si="31"/>
        <v>Better Salary</v>
      </c>
      <c r="Y154" t="str">
        <f t="shared" si="32"/>
        <v>Better Salary</v>
      </c>
      <c r="Z154" t="s">
        <v>41</v>
      </c>
      <c r="AA154">
        <v>32</v>
      </c>
      <c r="AB154" t="s">
        <v>113</v>
      </c>
      <c r="AC154" t="str">
        <f t="shared" si="33"/>
        <v>United Kingdom</v>
      </c>
      <c r="AD154" t="str">
        <f t="shared" si="34"/>
        <v>United Kingdom</v>
      </c>
      <c r="AE154" t="s">
        <v>241</v>
      </c>
      <c r="AF154" t="s">
        <v>43</v>
      </c>
      <c r="AG154" t="str">
        <f t="shared" si="24"/>
        <v>White or Caucasian</v>
      </c>
      <c r="AH154" t="str">
        <f t="shared" si="35"/>
        <v>White or Caucasian</v>
      </c>
    </row>
    <row r="155" spans="1:34" x14ac:dyDescent="0.25">
      <c r="A155" t="s">
        <v>548</v>
      </c>
      <c r="B155" t="s">
        <v>30</v>
      </c>
      <c r="C155" t="s">
        <v>546</v>
      </c>
      <c r="D155" t="s">
        <v>161</v>
      </c>
      <c r="E155" t="s">
        <v>34</v>
      </c>
      <c r="F155" t="str">
        <f t="shared" si="25"/>
        <v>Data Analyst</v>
      </c>
      <c r="G155" t="str">
        <f t="shared" si="26"/>
        <v>Data Analyst</v>
      </c>
      <c r="H155" t="s">
        <v>35</v>
      </c>
      <c r="I155" t="s">
        <v>48</v>
      </c>
      <c r="J155" t="s">
        <v>549</v>
      </c>
      <c r="K155" t="str">
        <f t="shared" si="27"/>
        <v>Government programs</v>
      </c>
      <c r="L155" t="str">
        <f t="shared" si="28"/>
        <v>Others</v>
      </c>
      <c r="M155" t="s">
        <v>38</v>
      </c>
      <c r="N155" t="str">
        <f t="shared" si="29"/>
        <v>Python</v>
      </c>
      <c r="O155" t="str">
        <f t="shared" si="30"/>
        <v>Python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tr">
        <f t="shared" si="31"/>
        <v>Good Culture</v>
      </c>
      <c r="Y155" t="str">
        <f t="shared" si="32"/>
        <v>Good Culture</v>
      </c>
      <c r="Z155" t="s">
        <v>41</v>
      </c>
      <c r="AA155">
        <v>29</v>
      </c>
      <c r="AB155" t="s">
        <v>42</v>
      </c>
      <c r="AC155" t="str">
        <f t="shared" si="33"/>
        <v>United States</v>
      </c>
      <c r="AD155" t="str">
        <f t="shared" si="34"/>
        <v>United States</v>
      </c>
      <c r="AE155" t="s">
        <v>241</v>
      </c>
      <c r="AF155" t="s">
        <v>52</v>
      </c>
      <c r="AG155" t="str">
        <f t="shared" si="24"/>
        <v>Asian or Asian American</v>
      </c>
      <c r="AH155" t="str">
        <f t="shared" si="35"/>
        <v>Asian or Asian American</v>
      </c>
    </row>
    <row r="156" spans="1:34" x14ac:dyDescent="0.25">
      <c r="A156" t="s">
        <v>550</v>
      </c>
      <c r="B156" t="s">
        <v>30</v>
      </c>
      <c r="C156" t="s">
        <v>551</v>
      </c>
      <c r="D156" t="s">
        <v>552</v>
      </c>
      <c r="E156" t="s">
        <v>34</v>
      </c>
      <c r="F156" t="str">
        <f t="shared" si="25"/>
        <v>Data Analyst</v>
      </c>
      <c r="G156" t="str">
        <f t="shared" si="26"/>
        <v>Data Analyst</v>
      </c>
      <c r="H156" t="s">
        <v>47</v>
      </c>
      <c r="I156" t="s">
        <v>48</v>
      </c>
      <c r="J156" t="s">
        <v>37</v>
      </c>
      <c r="K156" t="str">
        <f t="shared" si="27"/>
        <v>Healthcare</v>
      </c>
      <c r="L156" t="str">
        <f t="shared" si="28"/>
        <v>Healthcare</v>
      </c>
      <c r="M156" t="s">
        <v>50</v>
      </c>
      <c r="N156" t="str">
        <f t="shared" si="29"/>
        <v>R</v>
      </c>
      <c r="O156" t="str">
        <f t="shared" si="30"/>
        <v>R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tr">
        <f t="shared" si="31"/>
        <v>Want to move from Australia to Canada, so position in desired country</v>
      </c>
      <c r="Y156" t="str">
        <f t="shared" si="32"/>
        <v>Others</v>
      </c>
      <c r="Z156" t="s">
        <v>69</v>
      </c>
      <c r="AA156">
        <v>26</v>
      </c>
      <c r="AB156" t="s">
        <v>203</v>
      </c>
      <c r="AC156" t="str">
        <f t="shared" si="33"/>
        <v>Australia</v>
      </c>
      <c r="AD156" t="str">
        <f t="shared" si="34"/>
        <v>Australia</v>
      </c>
      <c r="AE156" t="s">
        <v>244</v>
      </c>
      <c r="AF156" t="s">
        <v>43</v>
      </c>
      <c r="AG156" t="str">
        <f t="shared" si="24"/>
        <v>White or Caucasian</v>
      </c>
      <c r="AH156" t="str">
        <f t="shared" si="35"/>
        <v>White or Caucasian</v>
      </c>
    </row>
    <row r="157" spans="1:34" x14ac:dyDescent="0.25">
      <c r="A157" t="s">
        <v>554</v>
      </c>
      <c r="B157" t="s">
        <v>30</v>
      </c>
      <c r="C157" t="s">
        <v>555</v>
      </c>
      <c r="D157" t="s">
        <v>556</v>
      </c>
      <c r="E157" t="s">
        <v>56</v>
      </c>
      <c r="F157" t="str">
        <f t="shared" si="25"/>
        <v>Data Engineer</v>
      </c>
      <c r="G157" t="str">
        <f t="shared" si="26"/>
        <v>Data Engineer</v>
      </c>
      <c r="H157" t="s">
        <v>35</v>
      </c>
      <c r="I157" t="s">
        <v>48</v>
      </c>
      <c r="J157" t="s">
        <v>107</v>
      </c>
      <c r="K157" t="str">
        <f t="shared" si="27"/>
        <v>Tech</v>
      </c>
      <c r="L157" t="str">
        <f t="shared" si="28"/>
        <v>Tech</v>
      </c>
      <c r="M157" t="s">
        <v>38</v>
      </c>
      <c r="N157" t="str">
        <f t="shared" si="29"/>
        <v>Python</v>
      </c>
      <c r="O157" t="str">
        <f t="shared" si="30"/>
        <v>Python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tr">
        <f t="shared" si="31"/>
        <v>Remote Work</v>
      </c>
      <c r="Y157" t="str">
        <f t="shared" si="32"/>
        <v>Remote Work</v>
      </c>
      <c r="Z157" t="s">
        <v>41</v>
      </c>
      <c r="AA157">
        <v>37</v>
      </c>
      <c r="AB157" t="s">
        <v>51</v>
      </c>
      <c r="AC157" t="str">
        <f t="shared" si="33"/>
        <v>Canada</v>
      </c>
      <c r="AD157" t="str">
        <f t="shared" si="34"/>
        <v>Canada</v>
      </c>
      <c r="AE157" t="s">
        <v>244</v>
      </c>
      <c r="AF157" t="s">
        <v>43</v>
      </c>
      <c r="AG157" t="str">
        <f t="shared" si="24"/>
        <v>White or Caucasian</v>
      </c>
      <c r="AH157" t="str">
        <f t="shared" si="35"/>
        <v>White or Caucasian</v>
      </c>
    </row>
    <row r="158" spans="1:34" x14ac:dyDescent="0.25">
      <c r="A158" t="s">
        <v>557</v>
      </c>
      <c r="B158" t="s">
        <v>30</v>
      </c>
      <c r="C158" t="s">
        <v>558</v>
      </c>
      <c r="D158" t="s">
        <v>254</v>
      </c>
      <c r="E158" t="s">
        <v>34</v>
      </c>
      <c r="F158" t="str">
        <f t="shared" si="25"/>
        <v>Data Analyst</v>
      </c>
      <c r="G158" t="str">
        <f t="shared" si="26"/>
        <v>Data Analyst</v>
      </c>
      <c r="H158" t="s">
        <v>47</v>
      </c>
      <c r="I158" t="s">
        <v>48</v>
      </c>
      <c r="J158" t="s">
        <v>559</v>
      </c>
      <c r="K158" t="str">
        <f t="shared" si="27"/>
        <v>Supply Chain</v>
      </c>
      <c r="L158" t="str">
        <f t="shared" si="28"/>
        <v>Others</v>
      </c>
      <c r="M158" t="s">
        <v>50</v>
      </c>
      <c r="N158" t="str">
        <f t="shared" si="29"/>
        <v>R</v>
      </c>
      <c r="O158" t="str">
        <f t="shared" si="30"/>
        <v>R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tr">
        <f t="shared" si="31"/>
        <v>Better Salary</v>
      </c>
      <c r="Y158" t="str">
        <f t="shared" si="32"/>
        <v>Better Salary</v>
      </c>
      <c r="Z158" t="s">
        <v>41</v>
      </c>
      <c r="AA158">
        <v>25</v>
      </c>
      <c r="AB158" t="s">
        <v>42</v>
      </c>
      <c r="AC158" t="str">
        <f t="shared" si="33"/>
        <v>United States</v>
      </c>
      <c r="AD158" t="str">
        <f t="shared" si="34"/>
        <v>United States</v>
      </c>
      <c r="AE158" t="s">
        <v>241</v>
      </c>
      <c r="AF158" t="s">
        <v>43</v>
      </c>
      <c r="AG158" t="str">
        <f t="shared" si="24"/>
        <v>White or Caucasian</v>
      </c>
      <c r="AH158" t="str">
        <f t="shared" si="35"/>
        <v>White or Caucasian</v>
      </c>
    </row>
    <row r="159" spans="1:34" x14ac:dyDescent="0.25">
      <c r="A159" t="s">
        <v>560</v>
      </c>
      <c r="B159" t="s">
        <v>30</v>
      </c>
      <c r="C159" t="s">
        <v>561</v>
      </c>
      <c r="D159" t="s">
        <v>340</v>
      </c>
      <c r="E159" t="s">
        <v>34</v>
      </c>
      <c r="F159" t="str">
        <f t="shared" si="25"/>
        <v>Data Analyst</v>
      </c>
      <c r="G159" t="str">
        <f t="shared" si="26"/>
        <v>Data Analyst</v>
      </c>
      <c r="H159" t="s">
        <v>47</v>
      </c>
      <c r="I159" t="s">
        <v>57</v>
      </c>
      <c r="J159" t="s">
        <v>49</v>
      </c>
      <c r="K159" t="str">
        <f t="shared" si="27"/>
        <v>Finance</v>
      </c>
      <c r="L159" t="str">
        <f t="shared" si="28"/>
        <v>Finance</v>
      </c>
      <c r="M159" t="s">
        <v>322</v>
      </c>
      <c r="N159" t="str">
        <f t="shared" si="29"/>
        <v>Sql</v>
      </c>
      <c r="O159" t="str">
        <f t="shared" si="30"/>
        <v>Sql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tr">
        <f t="shared" si="31"/>
        <v>Better Salary</v>
      </c>
      <c r="Y159" t="str">
        <f t="shared" si="32"/>
        <v>Better Salary</v>
      </c>
      <c r="Z159" t="s">
        <v>41</v>
      </c>
      <c r="AA159">
        <v>24</v>
      </c>
      <c r="AB159" t="s">
        <v>562</v>
      </c>
      <c r="AC159" t="str">
        <f t="shared" si="33"/>
        <v>Israel</v>
      </c>
      <c r="AD159" t="str">
        <f t="shared" si="34"/>
        <v>Others</v>
      </c>
      <c r="AE159" t="s">
        <v>231</v>
      </c>
      <c r="AF159" t="s">
        <v>43</v>
      </c>
      <c r="AG159" t="str">
        <f t="shared" si="24"/>
        <v>White or Caucasian</v>
      </c>
      <c r="AH159" t="str">
        <f t="shared" si="35"/>
        <v>White or Caucasian</v>
      </c>
    </row>
    <row r="160" spans="1:34" x14ac:dyDescent="0.25">
      <c r="A160" t="s">
        <v>563</v>
      </c>
      <c r="B160" t="s">
        <v>30</v>
      </c>
      <c r="C160" t="s">
        <v>564</v>
      </c>
      <c r="D160" t="s">
        <v>518</v>
      </c>
      <c r="E160" t="s">
        <v>565</v>
      </c>
      <c r="F160" t="str">
        <f t="shared" si="25"/>
        <v>Manager of a team of Data Analysts</v>
      </c>
      <c r="G160" t="str">
        <f t="shared" si="26"/>
        <v>Others</v>
      </c>
      <c r="H160" t="s">
        <v>47</v>
      </c>
      <c r="I160" t="s">
        <v>86</v>
      </c>
      <c r="J160" t="s">
        <v>49</v>
      </c>
      <c r="K160" t="str">
        <f t="shared" si="27"/>
        <v>Finance</v>
      </c>
      <c r="L160" t="str">
        <f t="shared" si="28"/>
        <v>Finance</v>
      </c>
      <c r="M160" t="s">
        <v>88</v>
      </c>
      <c r="N160" t="str">
        <f t="shared" si="29"/>
        <v>SQL</v>
      </c>
      <c r="O160" t="str">
        <f t="shared" si="30"/>
        <v>SQL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tr">
        <f t="shared" si="31"/>
        <v>Better Salary</v>
      </c>
      <c r="Y160" t="str">
        <f t="shared" si="32"/>
        <v>Better Salary</v>
      </c>
      <c r="Z160" t="s">
        <v>41</v>
      </c>
      <c r="AA160">
        <v>52</v>
      </c>
      <c r="AB160" t="s">
        <v>42</v>
      </c>
      <c r="AC160" t="str">
        <f t="shared" si="33"/>
        <v>United States</v>
      </c>
      <c r="AD160" t="str">
        <f t="shared" si="34"/>
        <v>United States</v>
      </c>
      <c r="AE160" t="s">
        <v>241</v>
      </c>
      <c r="AF160" t="s">
        <v>43</v>
      </c>
      <c r="AG160" t="str">
        <f t="shared" si="24"/>
        <v>White or Caucasian</v>
      </c>
      <c r="AH160" t="str">
        <f t="shared" si="35"/>
        <v>White or Caucasian</v>
      </c>
    </row>
    <row r="161" spans="1:34" x14ac:dyDescent="0.25">
      <c r="A161" t="s">
        <v>566</v>
      </c>
      <c r="B161" t="s">
        <v>30</v>
      </c>
      <c r="C161" t="s">
        <v>567</v>
      </c>
      <c r="D161" t="s">
        <v>568</v>
      </c>
      <c r="E161" t="s">
        <v>34</v>
      </c>
      <c r="F161" t="str">
        <f t="shared" si="25"/>
        <v>Data Analyst</v>
      </c>
      <c r="G161" t="str">
        <f t="shared" si="26"/>
        <v>Data Analyst</v>
      </c>
      <c r="H161" t="s">
        <v>35</v>
      </c>
      <c r="I161" t="s">
        <v>48</v>
      </c>
      <c r="J161" t="s">
        <v>49</v>
      </c>
      <c r="K161" t="str">
        <f t="shared" si="27"/>
        <v>Finance</v>
      </c>
      <c r="L161" t="str">
        <f t="shared" si="28"/>
        <v>Finance</v>
      </c>
      <c r="M161" t="s">
        <v>38</v>
      </c>
      <c r="N161" t="str">
        <f t="shared" si="29"/>
        <v>Python</v>
      </c>
      <c r="O161" t="str">
        <f t="shared" si="30"/>
        <v>Python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tr">
        <f t="shared" si="31"/>
        <v>Good Culture</v>
      </c>
      <c r="Y161" t="str">
        <f t="shared" si="32"/>
        <v>Good Culture</v>
      </c>
      <c r="Z161" t="s">
        <v>41</v>
      </c>
      <c r="AA161">
        <v>27</v>
      </c>
      <c r="AB161" t="s">
        <v>569</v>
      </c>
      <c r="AC161" t="str">
        <f t="shared" si="33"/>
        <v>Singapore</v>
      </c>
      <c r="AD161" t="str">
        <f t="shared" si="34"/>
        <v>Others</v>
      </c>
      <c r="AE161" t="s">
        <v>241</v>
      </c>
      <c r="AF161" t="s">
        <v>52</v>
      </c>
      <c r="AG161" t="str">
        <f t="shared" si="24"/>
        <v>Asian or Asian American</v>
      </c>
      <c r="AH161" t="str">
        <f t="shared" si="35"/>
        <v>Asian or Asian American</v>
      </c>
    </row>
    <row r="162" spans="1:34" x14ac:dyDescent="0.25">
      <c r="A162" t="s">
        <v>570</v>
      </c>
      <c r="B162" t="s">
        <v>30</v>
      </c>
      <c r="C162" t="s">
        <v>571</v>
      </c>
      <c r="D162" t="s">
        <v>572</v>
      </c>
      <c r="E162" t="s">
        <v>34</v>
      </c>
      <c r="F162" t="str">
        <f t="shared" si="25"/>
        <v>Data Analyst</v>
      </c>
      <c r="G162" t="str">
        <f t="shared" si="26"/>
        <v>Data Analyst</v>
      </c>
      <c r="H162" t="s">
        <v>47</v>
      </c>
      <c r="I162" t="s">
        <v>36</v>
      </c>
      <c r="J162" t="s">
        <v>37</v>
      </c>
      <c r="K162" t="str">
        <f t="shared" si="27"/>
        <v>Healthcare</v>
      </c>
      <c r="L162" t="str">
        <f t="shared" si="28"/>
        <v>Healthcare</v>
      </c>
      <c r="M162" t="s">
        <v>380</v>
      </c>
      <c r="N162" t="s">
        <v>1829</v>
      </c>
      <c r="O162" t="str">
        <f t="shared" si="30"/>
        <v>Others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tr">
        <f t="shared" si="31"/>
        <v>Better Salary</v>
      </c>
      <c r="Y162" t="str">
        <f t="shared" si="32"/>
        <v>Better Salary</v>
      </c>
      <c r="Z162" t="s">
        <v>69</v>
      </c>
      <c r="AA162">
        <v>29</v>
      </c>
      <c r="AB162" t="s">
        <v>42</v>
      </c>
      <c r="AC162" t="str">
        <f t="shared" si="33"/>
        <v>United States</v>
      </c>
      <c r="AD162" t="str">
        <f t="shared" si="34"/>
        <v>United States</v>
      </c>
      <c r="AE162" t="s">
        <v>244</v>
      </c>
      <c r="AF162" t="s">
        <v>43</v>
      </c>
      <c r="AG162" t="str">
        <f t="shared" si="24"/>
        <v>White or Caucasian</v>
      </c>
      <c r="AH162" t="str">
        <f t="shared" si="35"/>
        <v>White or Caucasian</v>
      </c>
    </row>
    <row r="163" spans="1:34" x14ac:dyDescent="0.25">
      <c r="A163" t="s">
        <v>573</v>
      </c>
      <c r="B163" t="s">
        <v>30</v>
      </c>
      <c r="C163" t="s">
        <v>574</v>
      </c>
      <c r="D163" t="s">
        <v>508</v>
      </c>
      <c r="E163" t="s">
        <v>127</v>
      </c>
      <c r="F163" t="str">
        <f t="shared" si="25"/>
        <v>Student/Looking/None</v>
      </c>
      <c r="G163" t="str">
        <f t="shared" si="26"/>
        <v>Student/Looking/None</v>
      </c>
      <c r="H163" t="s">
        <v>47</v>
      </c>
      <c r="I163" t="s">
        <v>57</v>
      </c>
      <c r="J163" t="s">
        <v>107</v>
      </c>
      <c r="K163" t="str">
        <f t="shared" si="27"/>
        <v>Tech</v>
      </c>
      <c r="L163" t="str">
        <f t="shared" si="28"/>
        <v>Tech</v>
      </c>
      <c r="M163" t="s">
        <v>38</v>
      </c>
      <c r="N163" t="str">
        <f t="shared" si="29"/>
        <v>Python</v>
      </c>
      <c r="O163" t="str">
        <f t="shared" si="30"/>
        <v>Python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tr">
        <f t="shared" si="31"/>
        <v>Better Salary</v>
      </c>
      <c r="Y163" t="str">
        <f t="shared" si="32"/>
        <v>Better Salary</v>
      </c>
      <c r="Z163" t="s">
        <v>41</v>
      </c>
      <c r="AA163">
        <v>42</v>
      </c>
      <c r="AB163" t="s">
        <v>345</v>
      </c>
      <c r="AC163" t="str">
        <f t="shared" si="33"/>
        <v>Brazil</v>
      </c>
      <c r="AD163" t="str">
        <f t="shared" si="34"/>
        <v>Others</v>
      </c>
      <c r="AE163" t="s">
        <v>266</v>
      </c>
      <c r="AF163" t="s">
        <v>43</v>
      </c>
      <c r="AG163" t="str">
        <f t="shared" si="24"/>
        <v>White or Caucasian</v>
      </c>
      <c r="AH163" t="str">
        <f t="shared" si="35"/>
        <v>White or Caucasian</v>
      </c>
    </row>
    <row r="164" spans="1:34" x14ac:dyDescent="0.25">
      <c r="A164" t="s">
        <v>575</v>
      </c>
      <c r="B164" t="s">
        <v>30</v>
      </c>
      <c r="C164" t="s">
        <v>576</v>
      </c>
      <c r="D164" t="s">
        <v>116</v>
      </c>
      <c r="E164" t="s">
        <v>34</v>
      </c>
      <c r="F164" t="str">
        <f t="shared" si="25"/>
        <v>Data Analyst</v>
      </c>
      <c r="G164" t="str">
        <f t="shared" si="26"/>
        <v>Data Analyst</v>
      </c>
      <c r="H164" t="s">
        <v>35</v>
      </c>
      <c r="I164" t="s">
        <v>48</v>
      </c>
      <c r="J164" t="s">
        <v>94</v>
      </c>
      <c r="K164" t="str">
        <f t="shared" si="27"/>
        <v>Telecommunication</v>
      </c>
      <c r="L164" t="str">
        <f t="shared" si="28"/>
        <v>Telecommunication</v>
      </c>
      <c r="M164" t="s">
        <v>50</v>
      </c>
      <c r="N164" t="str">
        <f t="shared" si="29"/>
        <v>R</v>
      </c>
      <c r="O164" t="str">
        <f t="shared" si="30"/>
        <v>R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tr">
        <f t="shared" si="31"/>
        <v>All of the options are important to me when looking for a new job</v>
      </c>
      <c r="Y164" t="str">
        <f t="shared" si="32"/>
        <v>Others</v>
      </c>
      <c r="Z164" t="s">
        <v>41</v>
      </c>
      <c r="AA164">
        <v>28</v>
      </c>
      <c r="AB164" t="s">
        <v>42</v>
      </c>
      <c r="AC164" t="str">
        <f t="shared" si="33"/>
        <v>United States</v>
      </c>
      <c r="AD164" t="str">
        <f t="shared" si="34"/>
        <v>United States</v>
      </c>
      <c r="AE164" t="s">
        <v>244</v>
      </c>
      <c r="AF164" t="s">
        <v>43</v>
      </c>
      <c r="AG164" t="str">
        <f t="shared" si="24"/>
        <v>White or Caucasian</v>
      </c>
      <c r="AH164" t="str">
        <f t="shared" si="35"/>
        <v>White or Caucasian</v>
      </c>
    </row>
    <row r="165" spans="1:34" x14ac:dyDescent="0.25">
      <c r="A165" t="s">
        <v>578</v>
      </c>
      <c r="B165" t="s">
        <v>30</v>
      </c>
      <c r="C165" t="s">
        <v>576</v>
      </c>
      <c r="D165" t="s">
        <v>214</v>
      </c>
      <c r="E165" t="s">
        <v>34</v>
      </c>
      <c r="F165" t="str">
        <f t="shared" si="25"/>
        <v>Data Analyst</v>
      </c>
      <c r="G165" t="str">
        <f t="shared" si="26"/>
        <v>Data Analyst</v>
      </c>
      <c r="H165" t="s">
        <v>35</v>
      </c>
      <c r="I165" t="s">
        <v>57</v>
      </c>
      <c r="J165" t="s">
        <v>107</v>
      </c>
      <c r="K165" t="str">
        <f t="shared" si="27"/>
        <v>Tech</v>
      </c>
      <c r="L165" t="str">
        <f t="shared" si="28"/>
        <v>Tech</v>
      </c>
      <c r="M165" t="s">
        <v>38</v>
      </c>
      <c r="N165" t="str">
        <f t="shared" si="29"/>
        <v>Python</v>
      </c>
      <c r="O165" t="str">
        <f t="shared" si="30"/>
        <v>Python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tr">
        <f t="shared" si="31"/>
        <v>Good Work/Life Balance</v>
      </c>
      <c r="Y165" t="str">
        <f t="shared" si="32"/>
        <v>Good Work/Life Balance</v>
      </c>
      <c r="Z165" t="s">
        <v>41</v>
      </c>
      <c r="AA165">
        <v>44</v>
      </c>
      <c r="AB165" t="s">
        <v>407</v>
      </c>
      <c r="AC165" t="str">
        <f t="shared" si="33"/>
        <v>Costa Rica</v>
      </c>
      <c r="AD165" t="str">
        <f t="shared" si="34"/>
        <v>Costa Rica</v>
      </c>
      <c r="AE165" t="s">
        <v>241</v>
      </c>
      <c r="AF165" t="s">
        <v>95</v>
      </c>
      <c r="AG165" t="str">
        <f t="shared" si="24"/>
        <v>Hispanic or Latino</v>
      </c>
      <c r="AH165" t="str">
        <f t="shared" si="35"/>
        <v>Hispanic or Latino</v>
      </c>
    </row>
    <row r="166" spans="1:34" x14ac:dyDescent="0.25">
      <c r="A166" t="s">
        <v>579</v>
      </c>
      <c r="B166" t="s">
        <v>30</v>
      </c>
      <c r="C166" t="s">
        <v>580</v>
      </c>
      <c r="D166" t="s">
        <v>46</v>
      </c>
      <c r="E166" t="s">
        <v>56</v>
      </c>
      <c r="F166" t="str">
        <f t="shared" si="25"/>
        <v>Data Engineer</v>
      </c>
      <c r="G166" t="str">
        <f t="shared" si="26"/>
        <v>Data Engineer</v>
      </c>
      <c r="H166" t="s">
        <v>35</v>
      </c>
      <c r="I166" t="s">
        <v>57</v>
      </c>
      <c r="J166" t="s">
        <v>107</v>
      </c>
      <c r="K166" t="str">
        <f t="shared" si="27"/>
        <v>Tech</v>
      </c>
      <c r="L166" t="str">
        <f t="shared" si="28"/>
        <v>Tech</v>
      </c>
      <c r="M166" t="s">
        <v>38</v>
      </c>
      <c r="N166" t="str">
        <f t="shared" si="29"/>
        <v>Python</v>
      </c>
      <c r="O166" t="str">
        <f t="shared" si="30"/>
        <v>Python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tr">
        <f t="shared" si="31"/>
        <v>Remote Work</v>
      </c>
      <c r="Y166" t="str">
        <f t="shared" si="32"/>
        <v>Remote Work</v>
      </c>
      <c r="Z166" t="s">
        <v>41</v>
      </c>
      <c r="AA166">
        <v>23</v>
      </c>
      <c r="AB166" t="s">
        <v>211</v>
      </c>
      <c r="AC166" t="str">
        <f t="shared" si="33"/>
        <v>Spain</v>
      </c>
      <c r="AD166" t="str">
        <f t="shared" si="34"/>
        <v>Spain</v>
      </c>
      <c r="AE166" t="s">
        <v>241</v>
      </c>
      <c r="AF166" t="s">
        <v>43</v>
      </c>
      <c r="AG166" t="str">
        <f t="shared" si="24"/>
        <v>White or Caucasian</v>
      </c>
      <c r="AH166" t="str">
        <f t="shared" si="35"/>
        <v>White or Caucasian</v>
      </c>
    </row>
    <row r="167" spans="1:34" x14ac:dyDescent="0.25">
      <c r="A167" t="s">
        <v>581</v>
      </c>
      <c r="B167" t="s">
        <v>30</v>
      </c>
      <c r="C167" t="s">
        <v>580</v>
      </c>
      <c r="D167" t="s">
        <v>368</v>
      </c>
      <c r="E167" t="s">
        <v>34</v>
      </c>
      <c r="F167" t="str">
        <f t="shared" si="25"/>
        <v>Data Analyst</v>
      </c>
      <c r="G167" t="str">
        <f t="shared" si="26"/>
        <v>Data Analyst</v>
      </c>
      <c r="H167" t="s">
        <v>47</v>
      </c>
      <c r="I167" t="s">
        <v>48</v>
      </c>
      <c r="J167" t="s">
        <v>582</v>
      </c>
      <c r="K167" t="str">
        <f t="shared" si="27"/>
        <v>Entertainment</v>
      </c>
      <c r="L167" t="str">
        <f t="shared" si="28"/>
        <v>Others</v>
      </c>
      <c r="M167" t="s">
        <v>50</v>
      </c>
      <c r="N167" t="str">
        <f t="shared" si="29"/>
        <v>R</v>
      </c>
      <c r="O167" t="str">
        <f t="shared" si="30"/>
        <v>R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tr">
        <f t="shared" si="31"/>
        <v>Better Salary</v>
      </c>
      <c r="Y167" t="str">
        <f t="shared" si="32"/>
        <v>Better Salary</v>
      </c>
      <c r="Z167" t="s">
        <v>41</v>
      </c>
      <c r="AA167">
        <v>27</v>
      </c>
      <c r="AB167" t="s">
        <v>42</v>
      </c>
      <c r="AC167" t="str">
        <f t="shared" si="33"/>
        <v>United States</v>
      </c>
      <c r="AD167" t="str">
        <f t="shared" si="34"/>
        <v>United States</v>
      </c>
      <c r="AE167" t="s">
        <v>241</v>
      </c>
      <c r="AF167" t="s">
        <v>95</v>
      </c>
      <c r="AG167" t="str">
        <f t="shared" si="24"/>
        <v>Hispanic or Latino</v>
      </c>
      <c r="AH167" t="str">
        <f t="shared" si="35"/>
        <v>Hispanic or Latino</v>
      </c>
    </row>
    <row r="168" spans="1:34" x14ac:dyDescent="0.25">
      <c r="A168" t="s">
        <v>583</v>
      </c>
      <c r="B168" t="s">
        <v>30</v>
      </c>
      <c r="C168" t="s">
        <v>584</v>
      </c>
      <c r="D168" t="s">
        <v>130</v>
      </c>
      <c r="E168" t="s">
        <v>34</v>
      </c>
      <c r="F168" t="str">
        <f t="shared" si="25"/>
        <v>Data Analyst</v>
      </c>
      <c r="G168" t="str">
        <f t="shared" si="26"/>
        <v>Data Analyst</v>
      </c>
      <c r="H168" t="s">
        <v>47</v>
      </c>
      <c r="I168" t="s">
        <v>98</v>
      </c>
      <c r="J168" t="s">
        <v>117</v>
      </c>
      <c r="K168" t="str">
        <f t="shared" si="27"/>
        <v>Construction</v>
      </c>
      <c r="L168" t="str">
        <f t="shared" si="28"/>
        <v>Construction</v>
      </c>
      <c r="M168" t="s">
        <v>38</v>
      </c>
      <c r="N168" t="str">
        <f t="shared" si="29"/>
        <v>Python</v>
      </c>
      <c r="O168" t="str">
        <f t="shared" si="30"/>
        <v>Python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tr">
        <f t="shared" si="31"/>
        <v>Good Culture</v>
      </c>
      <c r="Y168" t="str">
        <f t="shared" si="32"/>
        <v>Good Culture</v>
      </c>
      <c r="Z168" t="s">
        <v>41</v>
      </c>
      <c r="AA168">
        <v>26</v>
      </c>
      <c r="AB168" t="s">
        <v>42</v>
      </c>
      <c r="AC168" t="str">
        <f t="shared" si="33"/>
        <v>United States</v>
      </c>
      <c r="AD168" t="str">
        <f t="shared" si="34"/>
        <v>United States</v>
      </c>
      <c r="AE168" t="s">
        <v>244</v>
      </c>
      <c r="AF168" t="s">
        <v>43</v>
      </c>
      <c r="AG168" t="str">
        <f t="shared" si="24"/>
        <v>White or Caucasian</v>
      </c>
      <c r="AH168" t="str">
        <f t="shared" si="35"/>
        <v>White or Caucasian</v>
      </c>
    </row>
    <row r="169" spans="1:34" x14ac:dyDescent="0.25">
      <c r="A169" t="s">
        <v>585</v>
      </c>
      <c r="B169" t="s">
        <v>30</v>
      </c>
      <c r="C169" t="s">
        <v>586</v>
      </c>
      <c r="D169" t="s">
        <v>368</v>
      </c>
      <c r="E169" t="s">
        <v>34</v>
      </c>
      <c r="F169" t="str">
        <f t="shared" si="25"/>
        <v>Data Analyst</v>
      </c>
      <c r="G169" t="str">
        <f t="shared" si="26"/>
        <v>Data Analyst</v>
      </c>
      <c r="H169" t="s">
        <v>35</v>
      </c>
      <c r="I169" t="s">
        <v>91</v>
      </c>
      <c r="J169" t="s">
        <v>37</v>
      </c>
      <c r="K169" t="str">
        <f t="shared" si="27"/>
        <v>Healthcare</v>
      </c>
      <c r="L169" t="str">
        <f t="shared" si="28"/>
        <v>Healthcare</v>
      </c>
      <c r="M169" t="s">
        <v>587</v>
      </c>
      <c r="N169" t="str">
        <f t="shared" si="29"/>
        <v>Vba</v>
      </c>
      <c r="O169" t="str">
        <f t="shared" si="30"/>
        <v>Others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tr">
        <f t="shared" si="31"/>
        <v>Better Salary</v>
      </c>
      <c r="Y169" t="str">
        <f t="shared" si="32"/>
        <v>Better Salary</v>
      </c>
      <c r="Z169" t="s">
        <v>41</v>
      </c>
      <c r="AA169">
        <v>27</v>
      </c>
      <c r="AB169" t="s">
        <v>42</v>
      </c>
      <c r="AC169" t="str">
        <f t="shared" si="33"/>
        <v>United States</v>
      </c>
      <c r="AD169" t="str">
        <f t="shared" si="34"/>
        <v>United States</v>
      </c>
      <c r="AE169" t="s">
        <v>244</v>
      </c>
      <c r="AF169" t="s">
        <v>95</v>
      </c>
      <c r="AG169" t="str">
        <f t="shared" si="24"/>
        <v>Hispanic or Latino</v>
      </c>
      <c r="AH169" t="str">
        <f t="shared" si="35"/>
        <v>Hispanic or Latino</v>
      </c>
    </row>
    <row r="170" spans="1:34" x14ac:dyDescent="0.25">
      <c r="A170" t="s">
        <v>588</v>
      </c>
      <c r="B170" t="s">
        <v>30</v>
      </c>
      <c r="C170" t="s">
        <v>589</v>
      </c>
      <c r="D170" t="s">
        <v>379</v>
      </c>
      <c r="E170" t="s">
        <v>34</v>
      </c>
      <c r="F170" t="str">
        <f t="shared" si="25"/>
        <v>Data Analyst</v>
      </c>
      <c r="G170" t="str">
        <f t="shared" si="26"/>
        <v>Data Analyst</v>
      </c>
      <c r="H170" t="s">
        <v>35</v>
      </c>
      <c r="I170" t="s">
        <v>98</v>
      </c>
      <c r="J170" t="s">
        <v>87</v>
      </c>
      <c r="K170" t="str">
        <f t="shared" si="27"/>
        <v>Retail</v>
      </c>
      <c r="L170" t="str">
        <f t="shared" si="28"/>
        <v>Retail</v>
      </c>
      <c r="M170" t="s">
        <v>38</v>
      </c>
      <c r="N170" t="str">
        <f t="shared" si="29"/>
        <v>Python</v>
      </c>
      <c r="O170" t="str">
        <f t="shared" si="30"/>
        <v>Python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tr">
        <f t="shared" si="31"/>
        <v>Better Salary</v>
      </c>
      <c r="Y170" t="str">
        <f t="shared" si="32"/>
        <v>Better Salary</v>
      </c>
      <c r="Z170" t="s">
        <v>41</v>
      </c>
      <c r="AA170">
        <v>33</v>
      </c>
      <c r="AB170" t="s">
        <v>51</v>
      </c>
      <c r="AC170" t="str">
        <f t="shared" si="33"/>
        <v>Canada</v>
      </c>
      <c r="AD170" t="str">
        <f t="shared" si="34"/>
        <v>Canada</v>
      </c>
      <c r="AE170" t="s">
        <v>241</v>
      </c>
      <c r="AF170" t="s">
        <v>52</v>
      </c>
      <c r="AG170" t="str">
        <f t="shared" si="24"/>
        <v>Asian or Asian American</v>
      </c>
      <c r="AH170" t="str">
        <f t="shared" si="35"/>
        <v>Asian or Asian American</v>
      </c>
    </row>
    <row r="171" spans="1:34" x14ac:dyDescent="0.25">
      <c r="A171" t="s">
        <v>590</v>
      </c>
      <c r="B171" t="s">
        <v>30</v>
      </c>
      <c r="C171" t="s">
        <v>589</v>
      </c>
      <c r="D171" t="s">
        <v>254</v>
      </c>
      <c r="E171" t="s">
        <v>34</v>
      </c>
      <c r="F171" t="str">
        <f t="shared" si="25"/>
        <v>Data Analyst</v>
      </c>
      <c r="G171" t="str">
        <f t="shared" si="26"/>
        <v>Data Analyst</v>
      </c>
      <c r="H171" t="s">
        <v>35</v>
      </c>
      <c r="I171" t="s">
        <v>98</v>
      </c>
      <c r="J171" t="s">
        <v>591</v>
      </c>
      <c r="K171" t="str">
        <f t="shared" si="27"/>
        <v>Aerospace</v>
      </c>
      <c r="L171" t="str">
        <f t="shared" si="28"/>
        <v>Others</v>
      </c>
      <c r="M171" t="s">
        <v>38</v>
      </c>
      <c r="N171" t="str">
        <f t="shared" si="29"/>
        <v>Python</v>
      </c>
      <c r="O171" t="str">
        <f t="shared" si="30"/>
        <v>Python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tr">
        <f t="shared" si="31"/>
        <v>Better Salary</v>
      </c>
      <c r="Y171" t="str">
        <f t="shared" si="32"/>
        <v>Better Salary</v>
      </c>
      <c r="Z171" t="s">
        <v>41</v>
      </c>
      <c r="AA171">
        <v>28</v>
      </c>
      <c r="AB171" t="s">
        <v>42</v>
      </c>
      <c r="AC171" t="str">
        <f t="shared" si="33"/>
        <v>United States</v>
      </c>
      <c r="AD171" t="str">
        <f t="shared" si="34"/>
        <v>United States</v>
      </c>
      <c r="AE171" t="s">
        <v>241</v>
      </c>
      <c r="AF171" t="s">
        <v>95</v>
      </c>
      <c r="AG171" t="str">
        <f t="shared" si="24"/>
        <v>Hispanic or Latino</v>
      </c>
      <c r="AH171" t="str">
        <f t="shared" si="35"/>
        <v>Hispanic or Latino</v>
      </c>
    </row>
    <row r="172" spans="1:34" x14ac:dyDescent="0.25">
      <c r="A172" t="s">
        <v>592</v>
      </c>
      <c r="B172" t="s">
        <v>30</v>
      </c>
      <c r="C172" t="s">
        <v>593</v>
      </c>
      <c r="D172" t="s">
        <v>97</v>
      </c>
      <c r="E172" t="s">
        <v>34</v>
      </c>
      <c r="F172" t="str">
        <f t="shared" si="25"/>
        <v>Data Analyst</v>
      </c>
      <c r="G172" t="str">
        <f t="shared" si="26"/>
        <v>Data Analyst</v>
      </c>
      <c r="H172" t="s">
        <v>35</v>
      </c>
      <c r="I172" t="s">
        <v>57</v>
      </c>
      <c r="J172" t="s">
        <v>107</v>
      </c>
      <c r="K172" t="str">
        <f t="shared" si="27"/>
        <v>Tech</v>
      </c>
      <c r="L172" t="str">
        <f t="shared" si="28"/>
        <v>Tech</v>
      </c>
      <c r="M172" t="s">
        <v>50</v>
      </c>
      <c r="N172" t="str">
        <f t="shared" si="29"/>
        <v>R</v>
      </c>
      <c r="O172" t="str">
        <f t="shared" si="30"/>
        <v>R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tr">
        <f t="shared" si="31"/>
        <v>Better Salary</v>
      </c>
      <c r="Y172" t="str">
        <f t="shared" si="32"/>
        <v>Better Salary</v>
      </c>
      <c r="Z172" t="s">
        <v>41</v>
      </c>
      <c r="AA172">
        <v>32</v>
      </c>
      <c r="AB172" t="s">
        <v>136</v>
      </c>
      <c r="AC172" t="str">
        <f t="shared" si="33"/>
        <v>Kenya</v>
      </c>
      <c r="AD172" t="str">
        <f t="shared" si="34"/>
        <v>Kenya</v>
      </c>
      <c r="AE172" t="s">
        <v>241</v>
      </c>
      <c r="AF172" t="s">
        <v>62</v>
      </c>
      <c r="AG172" t="str">
        <f t="shared" si="24"/>
        <v>Black or African American</v>
      </c>
      <c r="AH172" t="str">
        <f t="shared" si="35"/>
        <v>Black or African American</v>
      </c>
    </row>
    <row r="173" spans="1:34" x14ac:dyDescent="0.25">
      <c r="A173" t="s">
        <v>594</v>
      </c>
      <c r="B173" t="s">
        <v>30</v>
      </c>
      <c r="C173" t="s">
        <v>595</v>
      </c>
      <c r="D173" t="s">
        <v>197</v>
      </c>
      <c r="E173" t="s">
        <v>127</v>
      </c>
      <c r="F173" t="str">
        <f t="shared" si="25"/>
        <v>Student/Looking/None</v>
      </c>
      <c r="G173" t="str">
        <f t="shared" si="26"/>
        <v>Student/Looking/None</v>
      </c>
      <c r="H173" t="s">
        <v>35</v>
      </c>
      <c r="I173" t="s">
        <v>48</v>
      </c>
      <c r="J173" t="s">
        <v>596</v>
      </c>
      <c r="K173" t="str">
        <f t="shared" si="27"/>
        <v>Foodservice Franchising</v>
      </c>
      <c r="L173" t="str">
        <f t="shared" si="28"/>
        <v>Others</v>
      </c>
      <c r="M173" t="s">
        <v>38</v>
      </c>
      <c r="N173" t="str">
        <f t="shared" si="29"/>
        <v>Python</v>
      </c>
      <c r="O173" t="str">
        <f t="shared" si="30"/>
        <v>Python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tr">
        <f t="shared" si="31"/>
        <v>Better Salary</v>
      </c>
      <c r="Y173" t="str">
        <f t="shared" si="32"/>
        <v>Better Salary</v>
      </c>
      <c r="Z173" t="s">
        <v>41</v>
      </c>
      <c r="AA173">
        <v>34</v>
      </c>
      <c r="AB173" t="s">
        <v>51</v>
      </c>
      <c r="AC173" t="str">
        <f t="shared" si="33"/>
        <v>Canada</v>
      </c>
      <c r="AD173" t="str">
        <f t="shared" si="34"/>
        <v>Canada</v>
      </c>
      <c r="AE173" t="s">
        <v>266</v>
      </c>
      <c r="AF173" t="s">
        <v>52</v>
      </c>
      <c r="AG173" t="str">
        <f t="shared" si="24"/>
        <v>Asian or Asian American</v>
      </c>
      <c r="AH173" t="str">
        <f t="shared" si="35"/>
        <v>Asian or Asian American</v>
      </c>
    </row>
    <row r="174" spans="1:34" x14ac:dyDescent="0.25">
      <c r="A174" t="s">
        <v>597</v>
      </c>
      <c r="B174" t="s">
        <v>30</v>
      </c>
      <c r="C174" t="s">
        <v>595</v>
      </c>
      <c r="D174" t="s">
        <v>126</v>
      </c>
      <c r="E174" t="s">
        <v>34</v>
      </c>
      <c r="F174" t="str">
        <f t="shared" si="25"/>
        <v>Data Analyst</v>
      </c>
      <c r="G174" t="str">
        <f t="shared" si="26"/>
        <v>Data Analyst</v>
      </c>
      <c r="H174" t="s">
        <v>47</v>
      </c>
      <c r="I174" t="s">
        <v>67</v>
      </c>
      <c r="J174" t="s">
        <v>107</v>
      </c>
      <c r="K174" t="str">
        <f t="shared" si="27"/>
        <v>Tech</v>
      </c>
      <c r="L174" t="str">
        <f t="shared" si="28"/>
        <v>Tech</v>
      </c>
      <c r="M174" t="s">
        <v>38</v>
      </c>
      <c r="N174" t="str">
        <f t="shared" si="29"/>
        <v>Python</v>
      </c>
      <c r="O174" t="str">
        <f t="shared" si="30"/>
        <v>Python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tr">
        <f t="shared" si="31"/>
        <v>Good Work/Life Balance</v>
      </c>
      <c r="Y174" t="str">
        <f t="shared" si="32"/>
        <v>Good Work/Life Balance</v>
      </c>
      <c r="Z174" t="s">
        <v>41</v>
      </c>
      <c r="AA174">
        <v>28</v>
      </c>
      <c r="AB174" t="s">
        <v>42</v>
      </c>
      <c r="AC174" t="str">
        <f t="shared" si="33"/>
        <v>United States</v>
      </c>
      <c r="AD174" t="str">
        <f t="shared" si="34"/>
        <v>United States</v>
      </c>
      <c r="AE174" t="s">
        <v>241</v>
      </c>
      <c r="AF174" t="s">
        <v>52</v>
      </c>
      <c r="AG174" t="str">
        <f t="shared" si="24"/>
        <v>Asian or Asian American</v>
      </c>
      <c r="AH174" t="str">
        <f t="shared" si="35"/>
        <v>Asian or Asian American</v>
      </c>
    </row>
    <row r="175" spans="1:34" x14ac:dyDescent="0.25">
      <c r="A175" t="s">
        <v>598</v>
      </c>
      <c r="B175" t="s">
        <v>30</v>
      </c>
      <c r="C175" t="s">
        <v>599</v>
      </c>
      <c r="D175" t="s">
        <v>72</v>
      </c>
      <c r="E175" t="s">
        <v>81</v>
      </c>
      <c r="F175" t="str">
        <f t="shared" si="25"/>
        <v>Data Scientist</v>
      </c>
      <c r="G175" t="str">
        <f t="shared" si="26"/>
        <v>Data Scientist</v>
      </c>
      <c r="H175" t="s">
        <v>35</v>
      </c>
      <c r="I175" t="s">
        <v>86</v>
      </c>
      <c r="J175" t="s">
        <v>94</v>
      </c>
      <c r="K175" t="str">
        <f t="shared" si="27"/>
        <v>Telecommunication</v>
      </c>
      <c r="L175" t="str">
        <f t="shared" si="28"/>
        <v>Telecommunication</v>
      </c>
      <c r="M175" t="s">
        <v>38</v>
      </c>
      <c r="N175" t="str">
        <f t="shared" si="29"/>
        <v>Python</v>
      </c>
      <c r="O175" t="str">
        <f t="shared" si="30"/>
        <v>Python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tr">
        <f t="shared" si="31"/>
        <v>Better Salary</v>
      </c>
      <c r="Y175" t="str">
        <f t="shared" si="32"/>
        <v>Better Salary</v>
      </c>
      <c r="Z175" t="s">
        <v>41</v>
      </c>
      <c r="AA175">
        <v>27</v>
      </c>
      <c r="AB175" t="s">
        <v>151</v>
      </c>
      <c r="AC175" t="str">
        <f t="shared" si="33"/>
        <v>India</v>
      </c>
      <c r="AD175" t="str">
        <f t="shared" si="34"/>
        <v>India</v>
      </c>
      <c r="AE175" t="s">
        <v>241</v>
      </c>
      <c r="AF175" t="s">
        <v>204</v>
      </c>
      <c r="AG175" t="str">
        <f t="shared" si="24"/>
        <v>Indian</v>
      </c>
      <c r="AH175" t="str">
        <f t="shared" si="35"/>
        <v>Indian</v>
      </c>
    </row>
    <row r="176" spans="1:34" x14ac:dyDescent="0.25">
      <c r="A176" t="s">
        <v>600</v>
      </c>
      <c r="B176" t="s">
        <v>30</v>
      </c>
      <c r="C176" t="s">
        <v>599</v>
      </c>
      <c r="D176" t="s">
        <v>139</v>
      </c>
      <c r="E176" t="s">
        <v>56</v>
      </c>
      <c r="F176" t="str">
        <f t="shared" si="25"/>
        <v>Data Engineer</v>
      </c>
      <c r="G176" t="str">
        <f t="shared" si="26"/>
        <v>Data Engineer</v>
      </c>
      <c r="H176" t="s">
        <v>35</v>
      </c>
      <c r="I176" t="s">
        <v>48</v>
      </c>
      <c r="J176" t="s">
        <v>49</v>
      </c>
      <c r="K176" t="str">
        <f t="shared" si="27"/>
        <v>Finance</v>
      </c>
      <c r="L176" t="str">
        <f t="shared" si="28"/>
        <v>Finance</v>
      </c>
      <c r="M176" t="s">
        <v>38</v>
      </c>
      <c r="N176" t="str">
        <f t="shared" si="29"/>
        <v>Python</v>
      </c>
      <c r="O176" t="str">
        <f t="shared" si="30"/>
        <v>Python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tr">
        <f t="shared" si="31"/>
        <v>Better Salary</v>
      </c>
      <c r="Y176" t="str">
        <f t="shared" si="32"/>
        <v>Better Salary</v>
      </c>
      <c r="Z176" t="s">
        <v>41</v>
      </c>
      <c r="AA176">
        <v>22</v>
      </c>
      <c r="AB176" t="s">
        <v>42</v>
      </c>
      <c r="AC176" t="str">
        <f t="shared" si="33"/>
        <v>United States</v>
      </c>
      <c r="AD176" t="str">
        <f t="shared" si="34"/>
        <v>United States</v>
      </c>
      <c r="AE176" t="s">
        <v>241</v>
      </c>
      <c r="AF176" t="s">
        <v>43</v>
      </c>
      <c r="AG176" t="str">
        <f t="shared" si="24"/>
        <v>White or Caucasian</v>
      </c>
      <c r="AH176" t="str">
        <f t="shared" si="35"/>
        <v>White or Caucasian</v>
      </c>
    </row>
    <row r="177" spans="1:34" x14ac:dyDescent="0.25">
      <c r="A177" t="s">
        <v>601</v>
      </c>
      <c r="B177" t="s">
        <v>30</v>
      </c>
      <c r="C177" t="s">
        <v>602</v>
      </c>
      <c r="D177" t="s">
        <v>287</v>
      </c>
      <c r="E177" t="s">
        <v>34</v>
      </c>
      <c r="F177" t="str">
        <f t="shared" si="25"/>
        <v>Data Analyst</v>
      </c>
      <c r="G177" t="str">
        <f t="shared" si="26"/>
        <v>Data Analyst</v>
      </c>
      <c r="H177" t="s">
        <v>47</v>
      </c>
      <c r="I177" t="s">
        <v>98</v>
      </c>
      <c r="J177" t="s">
        <v>37</v>
      </c>
      <c r="K177" t="str">
        <f t="shared" si="27"/>
        <v>Healthcare</v>
      </c>
      <c r="L177" t="str">
        <f t="shared" si="28"/>
        <v>Healthcare</v>
      </c>
      <c r="M177" t="s">
        <v>38</v>
      </c>
      <c r="N177" t="str">
        <f t="shared" si="29"/>
        <v>Python</v>
      </c>
      <c r="O177" t="str">
        <f t="shared" si="30"/>
        <v>Python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tr">
        <f t="shared" si="31"/>
        <v>Better Salary</v>
      </c>
      <c r="Y177" t="str">
        <f t="shared" si="32"/>
        <v>Better Salary</v>
      </c>
      <c r="Z177" t="s">
        <v>41</v>
      </c>
      <c r="AA177">
        <v>29</v>
      </c>
      <c r="AB177" t="s">
        <v>42</v>
      </c>
      <c r="AC177" t="str">
        <f t="shared" si="33"/>
        <v>United States</v>
      </c>
      <c r="AD177" t="str">
        <f t="shared" si="34"/>
        <v>United States</v>
      </c>
      <c r="AE177" t="s">
        <v>244</v>
      </c>
      <c r="AF177" t="s">
        <v>43</v>
      </c>
      <c r="AG177" t="str">
        <f t="shared" si="24"/>
        <v>White or Caucasian</v>
      </c>
      <c r="AH177" t="str">
        <f t="shared" si="35"/>
        <v>White or Caucasian</v>
      </c>
    </row>
    <row r="178" spans="1:34" x14ac:dyDescent="0.25">
      <c r="A178" t="s">
        <v>603</v>
      </c>
      <c r="B178" t="s">
        <v>30</v>
      </c>
      <c r="C178" t="s">
        <v>604</v>
      </c>
      <c r="D178" t="s">
        <v>317</v>
      </c>
      <c r="E178" t="s">
        <v>34</v>
      </c>
      <c r="F178" t="str">
        <f t="shared" si="25"/>
        <v>Data Analyst</v>
      </c>
      <c r="G178" t="str">
        <f t="shared" si="26"/>
        <v>Data Analyst</v>
      </c>
      <c r="H178" t="s">
        <v>47</v>
      </c>
      <c r="I178" t="s">
        <v>98</v>
      </c>
      <c r="J178" t="s">
        <v>37</v>
      </c>
      <c r="K178" t="str">
        <f t="shared" si="27"/>
        <v>Healthcare</v>
      </c>
      <c r="L178" t="str">
        <f t="shared" si="28"/>
        <v>Healthcare</v>
      </c>
      <c r="M178" t="s">
        <v>38</v>
      </c>
      <c r="N178" t="str">
        <f t="shared" si="29"/>
        <v>Python</v>
      </c>
      <c r="O178" t="str">
        <f t="shared" si="30"/>
        <v>Python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tr">
        <f t="shared" si="31"/>
        <v>Good Work/Life Balance</v>
      </c>
      <c r="Y178" t="str">
        <f t="shared" si="32"/>
        <v>Good Work/Life Balance</v>
      </c>
      <c r="Z178" t="s">
        <v>69</v>
      </c>
      <c r="AA178">
        <v>31</v>
      </c>
      <c r="AB178" t="s">
        <v>42</v>
      </c>
      <c r="AC178" t="str">
        <f t="shared" si="33"/>
        <v>United States</v>
      </c>
      <c r="AD178" t="str">
        <f t="shared" si="34"/>
        <v>United States</v>
      </c>
      <c r="AE178" t="s">
        <v>244</v>
      </c>
      <c r="AF178" t="s">
        <v>43</v>
      </c>
      <c r="AG178" t="str">
        <f t="shared" si="24"/>
        <v>White or Caucasian</v>
      </c>
      <c r="AH178" t="str">
        <f t="shared" si="35"/>
        <v>White or Caucasian</v>
      </c>
    </row>
    <row r="179" spans="1:34" x14ac:dyDescent="0.25">
      <c r="A179" t="s">
        <v>605</v>
      </c>
      <c r="B179" t="s">
        <v>30</v>
      </c>
      <c r="C179" t="s">
        <v>604</v>
      </c>
      <c r="D179" t="s">
        <v>508</v>
      </c>
      <c r="E179" t="s">
        <v>34</v>
      </c>
      <c r="F179" t="str">
        <f t="shared" si="25"/>
        <v>Data Analyst</v>
      </c>
      <c r="G179" t="str">
        <f t="shared" si="26"/>
        <v>Data Analyst</v>
      </c>
      <c r="H179" t="s">
        <v>47</v>
      </c>
      <c r="I179" t="s">
        <v>98</v>
      </c>
      <c r="J179" t="s">
        <v>107</v>
      </c>
      <c r="K179" t="str">
        <f t="shared" si="27"/>
        <v>Tech</v>
      </c>
      <c r="L179" t="str">
        <f t="shared" si="28"/>
        <v>Tech</v>
      </c>
      <c r="M179" t="s">
        <v>38</v>
      </c>
      <c r="N179" t="str">
        <f t="shared" si="29"/>
        <v>Python</v>
      </c>
      <c r="O179" t="str">
        <f t="shared" si="30"/>
        <v>Python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tr">
        <f t="shared" si="31"/>
        <v>Remote Work</v>
      </c>
      <c r="Y179" t="str">
        <f t="shared" si="32"/>
        <v>Remote Work</v>
      </c>
      <c r="Z179" t="s">
        <v>41</v>
      </c>
      <c r="AA179">
        <v>28</v>
      </c>
      <c r="AB179" t="s">
        <v>42</v>
      </c>
      <c r="AC179" t="str">
        <f t="shared" si="33"/>
        <v>United States</v>
      </c>
      <c r="AD179" t="str">
        <f t="shared" si="34"/>
        <v>United States</v>
      </c>
      <c r="AE179" t="s">
        <v>241</v>
      </c>
      <c r="AF179" t="s">
        <v>43</v>
      </c>
      <c r="AG179" t="str">
        <f t="shared" si="24"/>
        <v>White or Caucasian</v>
      </c>
      <c r="AH179" t="str">
        <f t="shared" si="35"/>
        <v>White or Caucasian</v>
      </c>
    </row>
    <row r="180" spans="1:34" x14ac:dyDescent="0.25">
      <c r="A180" t="s">
        <v>606</v>
      </c>
      <c r="B180" t="s">
        <v>30</v>
      </c>
      <c r="C180" t="s">
        <v>607</v>
      </c>
      <c r="D180" t="s">
        <v>511</v>
      </c>
      <c r="E180" t="s">
        <v>127</v>
      </c>
      <c r="F180" t="str">
        <f t="shared" si="25"/>
        <v>Student/Looking/None</v>
      </c>
      <c r="G180" t="str">
        <f t="shared" si="26"/>
        <v>Student/Looking/None</v>
      </c>
      <c r="H180" t="s">
        <v>47</v>
      </c>
      <c r="I180" t="s">
        <v>57</v>
      </c>
      <c r="J180" t="s">
        <v>37</v>
      </c>
      <c r="K180" t="str">
        <f t="shared" si="27"/>
        <v>Healthcare</v>
      </c>
      <c r="L180" t="str">
        <f t="shared" si="28"/>
        <v>Healthcare</v>
      </c>
      <c r="M180" t="s">
        <v>38</v>
      </c>
      <c r="N180" t="str">
        <f t="shared" si="29"/>
        <v>Python</v>
      </c>
      <c r="O180" t="str">
        <f t="shared" si="30"/>
        <v>Python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tr">
        <f t="shared" si="31"/>
        <v>Good Work/Life Balance</v>
      </c>
      <c r="Y180" t="str">
        <f t="shared" si="32"/>
        <v>Good Work/Life Balance</v>
      </c>
      <c r="Z180" t="s">
        <v>41</v>
      </c>
      <c r="AA180">
        <v>24</v>
      </c>
      <c r="AB180" t="s">
        <v>42</v>
      </c>
      <c r="AC180" t="str">
        <f t="shared" si="33"/>
        <v>United States</v>
      </c>
      <c r="AD180" t="str">
        <f t="shared" si="34"/>
        <v>United States</v>
      </c>
      <c r="AE180" t="s">
        <v>244</v>
      </c>
      <c r="AF180" t="s">
        <v>52</v>
      </c>
      <c r="AG180" t="str">
        <f t="shared" si="24"/>
        <v>Asian or Asian American</v>
      </c>
      <c r="AH180" t="str">
        <f t="shared" si="35"/>
        <v>Asian or Asian American</v>
      </c>
    </row>
    <row r="181" spans="1:34" x14ac:dyDescent="0.25">
      <c r="A181" t="s">
        <v>608</v>
      </c>
      <c r="B181" t="s">
        <v>30</v>
      </c>
      <c r="C181" t="s">
        <v>609</v>
      </c>
      <c r="D181" t="s">
        <v>326</v>
      </c>
      <c r="E181" t="s">
        <v>34</v>
      </c>
      <c r="F181" t="str">
        <f t="shared" si="25"/>
        <v>Data Analyst</v>
      </c>
      <c r="G181" t="str">
        <f t="shared" si="26"/>
        <v>Data Analyst</v>
      </c>
      <c r="H181" t="s">
        <v>47</v>
      </c>
      <c r="I181" t="s">
        <v>91</v>
      </c>
      <c r="J181" t="s">
        <v>610</v>
      </c>
      <c r="K181" t="str">
        <f t="shared" si="27"/>
        <v>Government</v>
      </c>
      <c r="L181" t="str">
        <f t="shared" si="28"/>
        <v>Others</v>
      </c>
      <c r="M181" t="s">
        <v>611</v>
      </c>
      <c r="N181" t="str">
        <f t="shared" si="29"/>
        <v>Stata</v>
      </c>
      <c r="O181" t="str">
        <f t="shared" si="30"/>
        <v>Others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tr">
        <f t="shared" si="31"/>
        <v>Good Culture</v>
      </c>
      <c r="Y181" t="str">
        <f t="shared" si="32"/>
        <v>Good Culture</v>
      </c>
      <c r="Z181" t="s">
        <v>41</v>
      </c>
      <c r="AA181">
        <v>34</v>
      </c>
      <c r="AB181" t="s">
        <v>42</v>
      </c>
      <c r="AC181" t="str">
        <f t="shared" si="33"/>
        <v>United States</v>
      </c>
      <c r="AD181" t="str">
        <f t="shared" si="34"/>
        <v>United States</v>
      </c>
      <c r="AE181" t="s">
        <v>244</v>
      </c>
      <c r="AF181" t="s">
        <v>43</v>
      </c>
      <c r="AG181" t="str">
        <f t="shared" si="24"/>
        <v>White or Caucasian</v>
      </c>
      <c r="AH181" t="str">
        <f t="shared" si="35"/>
        <v>White or Caucasian</v>
      </c>
    </row>
    <row r="182" spans="1:34" x14ac:dyDescent="0.25">
      <c r="A182" t="s">
        <v>612</v>
      </c>
      <c r="B182" t="s">
        <v>30</v>
      </c>
      <c r="C182" t="s">
        <v>613</v>
      </c>
      <c r="D182" t="s">
        <v>494</v>
      </c>
      <c r="E182" t="s">
        <v>56</v>
      </c>
      <c r="F182" t="str">
        <f t="shared" si="25"/>
        <v>Data Engineer</v>
      </c>
      <c r="G182" t="str">
        <f t="shared" si="26"/>
        <v>Data Engineer</v>
      </c>
      <c r="H182" t="s">
        <v>47</v>
      </c>
      <c r="I182" t="s">
        <v>91</v>
      </c>
      <c r="J182" t="s">
        <v>107</v>
      </c>
      <c r="K182" t="str">
        <f t="shared" si="27"/>
        <v>Tech</v>
      </c>
      <c r="L182" t="str">
        <f t="shared" si="28"/>
        <v>Tech</v>
      </c>
      <c r="M182" t="s">
        <v>38</v>
      </c>
      <c r="N182" t="str">
        <f t="shared" si="29"/>
        <v>Python</v>
      </c>
      <c r="O182" t="str">
        <f t="shared" si="30"/>
        <v>Python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tr">
        <f t="shared" si="31"/>
        <v>Better Salary</v>
      </c>
      <c r="Y182" t="str">
        <f t="shared" si="32"/>
        <v>Better Salary</v>
      </c>
      <c r="Z182" t="s">
        <v>41</v>
      </c>
      <c r="AA182">
        <v>23</v>
      </c>
      <c r="AB182" t="s">
        <v>42</v>
      </c>
      <c r="AC182" t="str">
        <f t="shared" si="33"/>
        <v>United States</v>
      </c>
      <c r="AD182" t="str">
        <f t="shared" si="34"/>
        <v>United States</v>
      </c>
      <c r="AE182" t="s">
        <v>241</v>
      </c>
      <c r="AF182" t="s">
        <v>43</v>
      </c>
      <c r="AG182" t="str">
        <f t="shared" si="24"/>
        <v>White or Caucasian</v>
      </c>
      <c r="AH182" t="str">
        <f t="shared" si="35"/>
        <v>White or Caucasian</v>
      </c>
    </row>
    <row r="183" spans="1:34" x14ac:dyDescent="0.25">
      <c r="A183" t="s">
        <v>614</v>
      </c>
      <c r="B183" t="s">
        <v>30</v>
      </c>
      <c r="C183" t="s">
        <v>613</v>
      </c>
      <c r="D183" t="s">
        <v>177</v>
      </c>
      <c r="E183" t="s">
        <v>127</v>
      </c>
      <c r="F183" t="str">
        <f t="shared" si="25"/>
        <v>Student/Looking/None</v>
      </c>
      <c r="G183" t="str">
        <f t="shared" si="26"/>
        <v>Student/Looking/None</v>
      </c>
      <c r="H183" t="s">
        <v>47</v>
      </c>
      <c r="I183" t="s">
        <v>48</v>
      </c>
      <c r="J183" t="s">
        <v>117</v>
      </c>
      <c r="K183" t="str">
        <f t="shared" si="27"/>
        <v>Construction</v>
      </c>
      <c r="L183" t="str">
        <f t="shared" si="28"/>
        <v>Construction</v>
      </c>
      <c r="M183" t="s">
        <v>615</v>
      </c>
      <c r="N183" t="str">
        <f t="shared" si="29"/>
        <v>Excel</v>
      </c>
      <c r="O183" t="str">
        <f t="shared" si="30"/>
        <v>Others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tr">
        <f t="shared" si="31"/>
        <v>Remote Work</v>
      </c>
      <c r="Y183" t="str">
        <f t="shared" si="32"/>
        <v>Remote Work</v>
      </c>
      <c r="Z183" t="s">
        <v>41</v>
      </c>
      <c r="AA183">
        <v>32</v>
      </c>
      <c r="AB183" t="s">
        <v>616</v>
      </c>
      <c r="AC183" t="str">
        <f t="shared" si="33"/>
        <v>Belgium</v>
      </c>
      <c r="AD183" t="str">
        <f t="shared" si="34"/>
        <v>Others</v>
      </c>
      <c r="AE183" t="s">
        <v>244</v>
      </c>
      <c r="AF183" t="s">
        <v>43</v>
      </c>
      <c r="AG183" t="str">
        <f t="shared" si="24"/>
        <v>White or Caucasian</v>
      </c>
      <c r="AH183" t="str">
        <f t="shared" si="35"/>
        <v>White or Caucasian</v>
      </c>
    </row>
    <row r="184" spans="1:34" x14ac:dyDescent="0.25">
      <c r="A184" t="s">
        <v>617</v>
      </c>
      <c r="B184" t="s">
        <v>30</v>
      </c>
      <c r="C184" t="s">
        <v>618</v>
      </c>
      <c r="D184" t="s">
        <v>619</v>
      </c>
      <c r="E184" t="s">
        <v>34</v>
      </c>
      <c r="F184" t="str">
        <f t="shared" si="25"/>
        <v>Data Analyst</v>
      </c>
      <c r="G184" t="str">
        <f t="shared" si="26"/>
        <v>Data Analyst</v>
      </c>
      <c r="H184" t="s">
        <v>35</v>
      </c>
      <c r="I184" t="s">
        <v>57</v>
      </c>
      <c r="J184" t="s">
        <v>37</v>
      </c>
      <c r="K184" t="str">
        <f t="shared" si="27"/>
        <v>Healthcare</v>
      </c>
      <c r="L184" t="str">
        <f t="shared" si="28"/>
        <v>Healthcare</v>
      </c>
      <c r="M184" t="s">
        <v>50</v>
      </c>
      <c r="N184" t="str">
        <f t="shared" si="29"/>
        <v>R</v>
      </c>
      <c r="O184" t="str">
        <f t="shared" si="30"/>
        <v>R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tr">
        <f t="shared" si="31"/>
        <v>Remote Work</v>
      </c>
      <c r="Y184" t="str">
        <f t="shared" si="32"/>
        <v>Remote Work</v>
      </c>
      <c r="Z184" t="s">
        <v>41</v>
      </c>
      <c r="AA184">
        <v>29</v>
      </c>
      <c r="AB184" t="s">
        <v>108</v>
      </c>
      <c r="AC184" t="str">
        <f t="shared" si="33"/>
        <v>Argentina</v>
      </c>
      <c r="AD184" t="str">
        <f t="shared" si="34"/>
        <v>Argentina</v>
      </c>
      <c r="AE184" t="s">
        <v>231</v>
      </c>
      <c r="AF184" t="s">
        <v>95</v>
      </c>
      <c r="AG184" t="str">
        <f t="shared" si="24"/>
        <v>Hispanic or Latino</v>
      </c>
      <c r="AH184" t="str">
        <f t="shared" si="35"/>
        <v>Hispanic or Latino</v>
      </c>
    </row>
    <row r="185" spans="1:34" x14ac:dyDescent="0.25">
      <c r="A185" t="s">
        <v>620</v>
      </c>
      <c r="B185" t="s">
        <v>30</v>
      </c>
      <c r="C185" t="s">
        <v>621</v>
      </c>
      <c r="D185" t="s">
        <v>508</v>
      </c>
      <c r="E185" t="s">
        <v>34</v>
      </c>
      <c r="F185" t="str">
        <f t="shared" si="25"/>
        <v>Data Analyst</v>
      </c>
      <c r="G185" t="str">
        <f t="shared" si="26"/>
        <v>Data Analyst</v>
      </c>
      <c r="H185" t="s">
        <v>35</v>
      </c>
      <c r="I185" t="s">
        <v>57</v>
      </c>
      <c r="J185" t="s">
        <v>112</v>
      </c>
      <c r="K185" t="str">
        <f t="shared" si="27"/>
        <v>Education</v>
      </c>
      <c r="L185" t="str">
        <f t="shared" si="28"/>
        <v>Education</v>
      </c>
      <c r="M185" t="s">
        <v>38</v>
      </c>
      <c r="N185" t="str">
        <f t="shared" si="29"/>
        <v>Python</v>
      </c>
      <c r="O185" t="str">
        <f t="shared" si="30"/>
        <v>Python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tr">
        <f t="shared" si="31"/>
        <v>Better Salary</v>
      </c>
      <c r="Y185" t="str">
        <f t="shared" si="32"/>
        <v>Better Salary</v>
      </c>
      <c r="Z185" t="s">
        <v>41</v>
      </c>
      <c r="AA185">
        <v>34</v>
      </c>
      <c r="AB185" t="s">
        <v>61</v>
      </c>
      <c r="AC185" t="str">
        <f t="shared" si="33"/>
        <v>Nigeria</v>
      </c>
      <c r="AD185" t="str">
        <f t="shared" si="34"/>
        <v>Nigeria</v>
      </c>
      <c r="AE185" t="s">
        <v>241</v>
      </c>
      <c r="AF185" t="s">
        <v>62</v>
      </c>
      <c r="AG185" t="str">
        <f t="shared" si="24"/>
        <v>Black or African American</v>
      </c>
      <c r="AH185" t="str">
        <f t="shared" si="35"/>
        <v>Black or African American</v>
      </c>
    </row>
    <row r="186" spans="1:34" x14ac:dyDescent="0.25">
      <c r="A186" t="s">
        <v>622</v>
      </c>
      <c r="B186" t="s">
        <v>30</v>
      </c>
      <c r="C186" t="s">
        <v>621</v>
      </c>
      <c r="D186" t="s">
        <v>111</v>
      </c>
      <c r="E186" t="s">
        <v>34</v>
      </c>
      <c r="F186" t="str">
        <f t="shared" si="25"/>
        <v>Data Analyst</v>
      </c>
      <c r="G186" t="str">
        <f t="shared" si="26"/>
        <v>Data Analyst</v>
      </c>
      <c r="H186" t="s">
        <v>47</v>
      </c>
      <c r="I186" t="s">
        <v>98</v>
      </c>
      <c r="J186" t="s">
        <v>49</v>
      </c>
      <c r="K186" t="str">
        <f t="shared" si="27"/>
        <v>Finance</v>
      </c>
      <c r="L186" t="str">
        <f t="shared" si="28"/>
        <v>Finance</v>
      </c>
      <c r="M186" t="s">
        <v>38</v>
      </c>
      <c r="N186" t="str">
        <f t="shared" si="29"/>
        <v>Python</v>
      </c>
      <c r="O186" t="str">
        <f t="shared" si="30"/>
        <v>Python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tr">
        <f t="shared" si="31"/>
        <v>Remote Work</v>
      </c>
      <c r="Y186" t="str">
        <f t="shared" si="32"/>
        <v>Remote Work</v>
      </c>
      <c r="Z186" t="s">
        <v>41</v>
      </c>
      <c r="AA186">
        <v>24</v>
      </c>
      <c r="AB186" t="s">
        <v>113</v>
      </c>
      <c r="AC186" t="str">
        <f t="shared" si="33"/>
        <v>United Kingdom</v>
      </c>
      <c r="AD186" t="str">
        <f t="shared" si="34"/>
        <v>United Kingdom</v>
      </c>
      <c r="AE186" t="s">
        <v>241</v>
      </c>
      <c r="AF186" t="s">
        <v>43</v>
      </c>
      <c r="AG186" t="str">
        <f t="shared" si="24"/>
        <v>White or Caucasian</v>
      </c>
      <c r="AH186" t="str">
        <f t="shared" si="35"/>
        <v>White or Caucasian</v>
      </c>
    </row>
    <row r="187" spans="1:34" x14ac:dyDescent="0.25">
      <c r="A187" t="s">
        <v>623</v>
      </c>
      <c r="B187" t="s">
        <v>30</v>
      </c>
      <c r="C187" t="s">
        <v>624</v>
      </c>
      <c r="D187" t="s">
        <v>625</v>
      </c>
      <c r="E187" t="s">
        <v>626</v>
      </c>
      <c r="F187" t="str">
        <f t="shared" si="25"/>
        <v>Analyst</v>
      </c>
      <c r="G187" t="str">
        <f t="shared" si="26"/>
        <v>Others</v>
      </c>
      <c r="H187" t="s">
        <v>47</v>
      </c>
      <c r="I187" t="s">
        <v>98</v>
      </c>
      <c r="J187" t="s">
        <v>107</v>
      </c>
      <c r="K187" t="str">
        <f t="shared" si="27"/>
        <v>Tech</v>
      </c>
      <c r="L187" t="str">
        <f t="shared" si="28"/>
        <v>Tech</v>
      </c>
      <c r="M187" t="s">
        <v>38</v>
      </c>
      <c r="N187" t="str">
        <f t="shared" si="29"/>
        <v>Python</v>
      </c>
      <c r="O187" t="str">
        <f t="shared" si="30"/>
        <v>Python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tr">
        <f t="shared" si="31"/>
        <v>Better Salary</v>
      </c>
      <c r="Y187" t="str">
        <f t="shared" si="32"/>
        <v>Better Salary</v>
      </c>
      <c r="Z187" t="s">
        <v>41</v>
      </c>
      <c r="AA187">
        <v>30</v>
      </c>
      <c r="AB187" t="s">
        <v>42</v>
      </c>
      <c r="AC187" t="str">
        <f t="shared" si="33"/>
        <v>United States</v>
      </c>
      <c r="AD187" t="str">
        <f t="shared" si="34"/>
        <v>United States</v>
      </c>
      <c r="AE187" t="s">
        <v>241</v>
      </c>
      <c r="AF187" t="s">
        <v>204</v>
      </c>
      <c r="AG187" t="str">
        <f t="shared" si="24"/>
        <v>Indian</v>
      </c>
      <c r="AH187" t="str">
        <f t="shared" si="35"/>
        <v>Indian</v>
      </c>
    </row>
    <row r="188" spans="1:34" x14ac:dyDescent="0.25">
      <c r="A188" t="s">
        <v>627</v>
      </c>
      <c r="B188" t="s">
        <v>30</v>
      </c>
      <c r="C188" t="s">
        <v>628</v>
      </c>
      <c r="D188" t="s">
        <v>238</v>
      </c>
      <c r="E188" t="s">
        <v>629</v>
      </c>
      <c r="F188" t="str">
        <f t="shared" si="25"/>
        <v>Analytics Engineer</v>
      </c>
      <c r="G188" t="str">
        <f t="shared" si="26"/>
        <v>Others</v>
      </c>
      <c r="H188" t="s">
        <v>47</v>
      </c>
      <c r="I188" t="s">
        <v>91</v>
      </c>
      <c r="J188" t="s">
        <v>630</v>
      </c>
      <c r="K188" t="str">
        <f t="shared" si="27"/>
        <v>Entertainment</v>
      </c>
      <c r="L188" t="str">
        <f t="shared" si="28"/>
        <v>Others</v>
      </c>
      <c r="M188" t="s">
        <v>38</v>
      </c>
      <c r="N188" t="str">
        <f t="shared" si="29"/>
        <v>Python</v>
      </c>
      <c r="O188" t="str">
        <f t="shared" si="30"/>
        <v>Python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tr">
        <f t="shared" si="31"/>
        <v>Better Salary</v>
      </c>
      <c r="Y188" t="str">
        <f t="shared" si="32"/>
        <v>Better Salary</v>
      </c>
      <c r="Z188" t="s">
        <v>41</v>
      </c>
      <c r="AA188">
        <v>24</v>
      </c>
      <c r="AB188" t="s">
        <v>42</v>
      </c>
      <c r="AC188" t="str">
        <f t="shared" si="33"/>
        <v>United States</v>
      </c>
      <c r="AD188" t="str">
        <f t="shared" si="34"/>
        <v>United States</v>
      </c>
      <c r="AE188" t="s">
        <v>244</v>
      </c>
      <c r="AF188" t="s">
        <v>95</v>
      </c>
      <c r="AG188" t="str">
        <f t="shared" si="24"/>
        <v>Hispanic or Latino</v>
      </c>
      <c r="AH188" t="str">
        <f t="shared" si="35"/>
        <v>Hispanic or Latino</v>
      </c>
    </row>
    <row r="189" spans="1:34" x14ac:dyDescent="0.25">
      <c r="A189" t="s">
        <v>631</v>
      </c>
      <c r="B189" t="s">
        <v>30</v>
      </c>
      <c r="C189" t="s">
        <v>628</v>
      </c>
      <c r="D189" t="s">
        <v>200</v>
      </c>
      <c r="E189" t="s">
        <v>34</v>
      </c>
      <c r="F189" t="str">
        <f t="shared" si="25"/>
        <v>Data Analyst</v>
      </c>
      <c r="G189" t="str">
        <f t="shared" si="26"/>
        <v>Data Analyst</v>
      </c>
      <c r="H189" t="s">
        <v>35</v>
      </c>
      <c r="I189" t="s">
        <v>48</v>
      </c>
      <c r="J189" t="s">
        <v>155</v>
      </c>
      <c r="K189" t="str">
        <f t="shared" si="27"/>
        <v>Insurance</v>
      </c>
      <c r="L189" t="str">
        <f t="shared" si="28"/>
        <v>Others</v>
      </c>
      <c r="M189" t="s">
        <v>38</v>
      </c>
      <c r="N189" t="str">
        <f t="shared" si="29"/>
        <v>Python</v>
      </c>
      <c r="O189" t="str">
        <f t="shared" si="30"/>
        <v>Python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tr">
        <f t="shared" si="31"/>
        <v>Better Salary</v>
      </c>
      <c r="Y189" t="str">
        <f t="shared" si="32"/>
        <v>Better Salary</v>
      </c>
      <c r="Z189" t="s">
        <v>41</v>
      </c>
      <c r="AA189">
        <v>27</v>
      </c>
      <c r="AB189" t="s">
        <v>42</v>
      </c>
      <c r="AC189" t="str">
        <f t="shared" si="33"/>
        <v>United States</v>
      </c>
      <c r="AD189" t="str">
        <f t="shared" si="34"/>
        <v>United States</v>
      </c>
      <c r="AE189" t="s">
        <v>241</v>
      </c>
      <c r="AF189" t="s">
        <v>632</v>
      </c>
      <c r="AG189" t="str">
        <f t="shared" si="24"/>
        <v>N/A</v>
      </c>
      <c r="AH189" t="str">
        <f t="shared" si="35"/>
        <v>Others</v>
      </c>
    </row>
    <row r="190" spans="1:34" x14ac:dyDescent="0.25">
      <c r="A190" t="s">
        <v>633</v>
      </c>
      <c r="B190" t="s">
        <v>30</v>
      </c>
      <c r="C190" t="s">
        <v>634</v>
      </c>
      <c r="D190" t="s">
        <v>172</v>
      </c>
      <c r="E190" t="s">
        <v>34</v>
      </c>
      <c r="F190" t="str">
        <f t="shared" si="25"/>
        <v>Data Analyst</v>
      </c>
      <c r="G190" t="str">
        <f t="shared" si="26"/>
        <v>Data Analyst</v>
      </c>
      <c r="H190" t="s">
        <v>47</v>
      </c>
      <c r="I190" t="s">
        <v>57</v>
      </c>
      <c r="J190" t="s">
        <v>49</v>
      </c>
      <c r="K190" t="str">
        <f t="shared" si="27"/>
        <v>Finance</v>
      </c>
      <c r="L190" t="str">
        <f t="shared" si="28"/>
        <v>Finance</v>
      </c>
      <c r="M190" t="s">
        <v>38</v>
      </c>
      <c r="N190" t="str">
        <f t="shared" si="29"/>
        <v>Python</v>
      </c>
      <c r="O190" t="str">
        <f t="shared" si="30"/>
        <v>Python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tr">
        <f t="shared" si="31"/>
        <v>Better Salary</v>
      </c>
      <c r="Y190" t="str">
        <f t="shared" si="32"/>
        <v>Better Salary</v>
      </c>
      <c r="Z190" t="s">
        <v>41</v>
      </c>
      <c r="AA190">
        <v>21</v>
      </c>
      <c r="AB190" t="s">
        <v>151</v>
      </c>
      <c r="AC190" t="str">
        <f t="shared" si="33"/>
        <v>India</v>
      </c>
      <c r="AD190" t="str">
        <f t="shared" si="34"/>
        <v>India</v>
      </c>
      <c r="AE190" t="s">
        <v>241</v>
      </c>
      <c r="AF190" t="s">
        <v>52</v>
      </c>
      <c r="AG190" t="str">
        <f t="shared" si="24"/>
        <v>Asian or Asian American</v>
      </c>
      <c r="AH190" t="str">
        <f t="shared" si="35"/>
        <v>Asian or Asian American</v>
      </c>
    </row>
    <row r="191" spans="1:34" x14ac:dyDescent="0.25">
      <c r="A191" t="s">
        <v>635</v>
      </c>
      <c r="B191" t="s">
        <v>30</v>
      </c>
      <c r="C191" t="s">
        <v>636</v>
      </c>
      <c r="D191" t="s">
        <v>180</v>
      </c>
      <c r="E191" t="s">
        <v>34</v>
      </c>
      <c r="F191" t="str">
        <f t="shared" si="25"/>
        <v>Data Analyst</v>
      </c>
      <c r="G191" t="str">
        <f t="shared" si="26"/>
        <v>Data Analyst</v>
      </c>
      <c r="H191" t="s">
        <v>47</v>
      </c>
      <c r="I191" t="s">
        <v>57</v>
      </c>
      <c r="J191" t="s">
        <v>99</v>
      </c>
      <c r="K191" t="str">
        <f t="shared" si="27"/>
        <v>Logistics</v>
      </c>
      <c r="L191" t="str">
        <f t="shared" si="28"/>
        <v>Others</v>
      </c>
      <c r="M191" t="s">
        <v>38</v>
      </c>
      <c r="N191" t="str">
        <f t="shared" si="29"/>
        <v>Python</v>
      </c>
      <c r="O191" t="str">
        <f t="shared" si="30"/>
        <v>Python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tr">
        <f t="shared" si="31"/>
        <v>Both Good work / life Balance and Good Culture</v>
      </c>
      <c r="Y191" t="str">
        <f t="shared" si="32"/>
        <v>Others</v>
      </c>
      <c r="Z191" t="s">
        <v>41</v>
      </c>
      <c r="AA191">
        <v>31</v>
      </c>
      <c r="AB191" t="s">
        <v>638</v>
      </c>
      <c r="AC191" t="str">
        <f t="shared" si="33"/>
        <v>UAE</v>
      </c>
      <c r="AD191" t="str">
        <f t="shared" si="34"/>
        <v>Others</v>
      </c>
      <c r="AE191" t="s">
        <v>244</v>
      </c>
      <c r="AF191" t="s">
        <v>62</v>
      </c>
      <c r="AG191" t="str">
        <f t="shared" si="24"/>
        <v>Black or African American</v>
      </c>
      <c r="AH191" t="str">
        <f t="shared" si="35"/>
        <v>Black or African American</v>
      </c>
    </row>
    <row r="192" spans="1:34" x14ac:dyDescent="0.25">
      <c r="A192" t="s">
        <v>639</v>
      </c>
      <c r="B192" t="s">
        <v>30</v>
      </c>
      <c r="C192" t="s">
        <v>640</v>
      </c>
      <c r="D192" t="s">
        <v>197</v>
      </c>
      <c r="E192" t="s">
        <v>34</v>
      </c>
      <c r="F192" t="str">
        <f t="shared" si="25"/>
        <v>Data Analyst</v>
      </c>
      <c r="G192" t="str">
        <f t="shared" si="26"/>
        <v>Data Analyst</v>
      </c>
      <c r="H192" t="s">
        <v>35</v>
      </c>
      <c r="I192" t="s">
        <v>57</v>
      </c>
      <c r="J192" t="s">
        <v>94</v>
      </c>
      <c r="K192" t="str">
        <f t="shared" si="27"/>
        <v>Telecommunication</v>
      </c>
      <c r="L192" t="str">
        <f t="shared" si="28"/>
        <v>Telecommunication</v>
      </c>
      <c r="M192" t="s">
        <v>50</v>
      </c>
      <c r="N192" t="str">
        <f t="shared" si="29"/>
        <v>R</v>
      </c>
      <c r="O192" t="str">
        <f t="shared" si="30"/>
        <v>R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tr">
        <f t="shared" si="31"/>
        <v>Better Salary</v>
      </c>
      <c r="Y192" t="str">
        <f t="shared" si="32"/>
        <v>Better Salary</v>
      </c>
      <c r="Z192" t="s">
        <v>41</v>
      </c>
      <c r="AA192">
        <v>41</v>
      </c>
      <c r="AB192" t="s">
        <v>448</v>
      </c>
      <c r="AC192" t="str">
        <f t="shared" si="33"/>
        <v>Egypt</v>
      </c>
      <c r="AD192" t="str">
        <f t="shared" si="34"/>
        <v>Egypt</v>
      </c>
      <c r="AE192" t="s">
        <v>241</v>
      </c>
      <c r="AF192" t="s">
        <v>43</v>
      </c>
      <c r="AG192" t="str">
        <f t="shared" si="24"/>
        <v>White or Caucasian</v>
      </c>
      <c r="AH192" t="str">
        <f t="shared" si="35"/>
        <v>White or Caucasian</v>
      </c>
    </row>
    <row r="193" spans="1:34" x14ac:dyDescent="0.25">
      <c r="A193" t="s">
        <v>641</v>
      </c>
      <c r="B193" t="s">
        <v>30</v>
      </c>
      <c r="C193" t="s">
        <v>642</v>
      </c>
      <c r="D193" t="s">
        <v>154</v>
      </c>
      <c r="E193" t="s">
        <v>34</v>
      </c>
      <c r="F193" t="str">
        <f t="shared" si="25"/>
        <v>Data Analyst</v>
      </c>
      <c r="G193" t="str">
        <f t="shared" si="26"/>
        <v>Data Analyst</v>
      </c>
      <c r="H193" t="s">
        <v>35</v>
      </c>
      <c r="I193" t="s">
        <v>57</v>
      </c>
      <c r="J193" t="s">
        <v>107</v>
      </c>
      <c r="K193" t="str">
        <f t="shared" si="27"/>
        <v>Tech</v>
      </c>
      <c r="L193" t="str">
        <f t="shared" si="28"/>
        <v>Tech</v>
      </c>
      <c r="M193" t="s">
        <v>38</v>
      </c>
      <c r="N193" t="str">
        <f t="shared" si="29"/>
        <v>Python</v>
      </c>
      <c r="O193" t="str">
        <f t="shared" si="30"/>
        <v>Python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tr">
        <f t="shared" si="31"/>
        <v>Better Salary</v>
      </c>
      <c r="Y193" t="str">
        <f t="shared" si="32"/>
        <v>Better Salary</v>
      </c>
      <c r="Z193" t="s">
        <v>41</v>
      </c>
      <c r="AA193">
        <v>25</v>
      </c>
      <c r="AB193" t="s">
        <v>151</v>
      </c>
      <c r="AC193" t="str">
        <f t="shared" si="33"/>
        <v>India</v>
      </c>
      <c r="AD193" t="str">
        <f t="shared" si="34"/>
        <v>India</v>
      </c>
      <c r="AE193" t="s">
        <v>241</v>
      </c>
      <c r="AF193" t="s">
        <v>52</v>
      </c>
      <c r="AG193" t="str">
        <f t="shared" si="24"/>
        <v>Asian or Asian American</v>
      </c>
      <c r="AH193" t="str">
        <f t="shared" si="35"/>
        <v>Asian or Asian American</v>
      </c>
    </row>
    <row r="194" spans="1:34" x14ac:dyDescent="0.25">
      <c r="A194" t="s">
        <v>643</v>
      </c>
      <c r="B194" t="s">
        <v>30</v>
      </c>
      <c r="C194" t="s">
        <v>644</v>
      </c>
      <c r="D194" t="s">
        <v>645</v>
      </c>
      <c r="E194" t="s">
        <v>34</v>
      </c>
      <c r="F194" t="str">
        <f t="shared" si="25"/>
        <v>Data Analyst</v>
      </c>
      <c r="G194" t="str">
        <f t="shared" si="26"/>
        <v>Data Analyst</v>
      </c>
      <c r="H194" t="s">
        <v>47</v>
      </c>
      <c r="I194" t="s">
        <v>57</v>
      </c>
      <c r="J194" t="s">
        <v>49</v>
      </c>
      <c r="K194" t="str">
        <f t="shared" si="27"/>
        <v>Finance</v>
      </c>
      <c r="L194" t="str">
        <f t="shared" si="28"/>
        <v>Finance</v>
      </c>
      <c r="M194" t="s">
        <v>646</v>
      </c>
      <c r="N194" t="str">
        <f t="shared" si="29"/>
        <v>I currently do not work with programming languages yet</v>
      </c>
      <c r="O194" t="str">
        <f t="shared" si="30"/>
        <v>Others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tr">
        <f t="shared" si="31"/>
        <v>an environment that encourages growth like where I work currently and better salary</v>
      </c>
      <c r="Y194" t="str">
        <f t="shared" si="32"/>
        <v>Others</v>
      </c>
      <c r="Z194" t="s">
        <v>41</v>
      </c>
      <c r="AA194">
        <v>24</v>
      </c>
      <c r="AB194" t="s">
        <v>423</v>
      </c>
      <c r="AC194" t="str">
        <f t="shared" si="33"/>
        <v>Nigeria</v>
      </c>
      <c r="AD194" t="str">
        <f t="shared" si="34"/>
        <v>Nigeria</v>
      </c>
      <c r="AE194" t="s">
        <v>241</v>
      </c>
      <c r="AF194" t="s">
        <v>62</v>
      </c>
      <c r="AG194" t="str">
        <f t="shared" ref="AG194:AG257" si="36">IF(ISNUMBER(SEARCH("other",AF194)),IF(TRIM(MID(AF194, FIND(")",AF194)+1, LEN(AF194)))="", "Other", TRIM(MID(AF194, FIND(":",AF194)+1, LEN(AF194)))),AF194)</f>
        <v>Black or African American</v>
      </c>
      <c r="AH194" t="str">
        <f t="shared" si="35"/>
        <v>Black or African American</v>
      </c>
    </row>
    <row r="195" spans="1:34" x14ac:dyDescent="0.25">
      <c r="A195" t="s">
        <v>648</v>
      </c>
      <c r="B195" t="s">
        <v>30</v>
      </c>
      <c r="C195" t="s">
        <v>649</v>
      </c>
      <c r="D195" t="s">
        <v>650</v>
      </c>
      <c r="E195" t="s">
        <v>34</v>
      </c>
      <c r="F195" t="str">
        <f t="shared" ref="F195:F258" si="37">IF(ISNUMBER(SEARCH("other",E195)),IF(TRIM(MID(E195, FIND(")",E195)+1, LEN(E195)))="", "Other", TRIM(MID(E195, FIND(":",E195)+1, LEN(E195)))),E195)</f>
        <v>Data Analyst</v>
      </c>
      <c r="G195" t="str">
        <f t="shared" ref="G195:G258" si="38">IF(COUNTIF(F:F,F195)&lt;5,"Others",F195)</f>
        <v>Data Analyst</v>
      </c>
      <c r="H195" t="s">
        <v>47</v>
      </c>
      <c r="I195" t="s">
        <v>57</v>
      </c>
      <c r="J195" t="s">
        <v>49</v>
      </c>
      <c r="K195" t="str">
        <f t="shared" ref="K195:K258" si="39">IF(ISNUMBER(SEARCH("other",J195)),IF(TRIM(MID(J195, FIND(")",J195)+1, LEN(J195)))="", "Other", TRIM(MID(J195, FIND(":",J195)+1, LEN(J195)))),J195)</f>
        <v>Finance</v>
      </c>
      <c r="L195" t="str">
        <f t="shared" ref="L195:L258" si="40">IF(COUNTIF(K:K,K195)&lt;10,"Others",K195)</f>
        <v>Finance</v>
      </c>
      <c r="M195" t="s">
        <v>38</v>
      </c>
      <c r="N195" t="str">
        <f t="shared" ref="N195:N258" si="41">IF(ISNUMBER(SEARCH("other",M195)),IF(TRIM(MID(M195, FIND("Other",M195)+1, LEN(M195)))="", "Other", TRIM(MID(M195, FIND(":",M195)+1, LEN(M195)))),M195)</f>
        <v>Python</v>
      </c>
      <c r="O195" t="str">
        <f t="shared" ref="O195:O258" si="42">IF(COUNTIF(N:N,N195)&lt;5,"Others",N195)</f>
        <v>Python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tr">
        <f t="shared" ref="X195:X258" si="43">IF(ISNUMBER(SEARCH("other",W195)),IF(TRIM(MID(W195, FIND(")",W195)+1, LEN(W195)))="", "Other", TRIM(MID(W195, FIND(":",W195)+1, LEN(W195)))),W195)</f>
        <v>Better Salary</v>
      </c>
      <c r="Y195" t="str">
        <f t="shared" ref="Y195:Y258" si="44">IF(COUNTIF(X:X,X195)&lt;5,"Others",X195)</f>
        <v>Better Salary</v>
      </c>
      <c r="Z195" t="s">
        <v>41</v>
      </c>
      <c r="AA195">
        <v>30</v>
      </c>
      <c r="AB195" t="s">
        <v>651</v>
      </c>
      <c r="AC195" t="str">
        <f t="shared" ref="AC195:AC258" si="45">IF(ISNUMBER(SEARCH("other",AB195)),IF(TRIM(MID(AB195, FIND(")",AB195)+1, LEN(AB195)))="", "Other", TRIM(MID(AB195, FIND(":",AB195)+1, LEN(AB195)))),AB195)</f>
        <v>Somalia</v>
      </c>
      <c r="AD195" t="str">
        <f t="shared" ref="AD195:AD258" si="46">IF(COUNTIF(AC:AC,AC195)&lt;5,"Others",AC195)</f>
        <v>Others</v>
      </c>
      <c r="AE195" t="s">
        <v>244</v>
      </c>
      <c r="AF195" t="s">
        <v>652</v>
      </c>
      <c r="AG195" t="str">
        <f t="shared" si="36"/>
        <v>African</v>
      </c>
      <c r="AH195" t="str">
        <f t="shared" ref="AH195:AH258" si="47">IF(COUNTIF(AG:AG,AG195)&lt;5,"Others",AG195)</f>
        <v>African</v>
      </c>
    </row>
    <row r="196" spans="1:34" x14ac:dyDescent="0.25">
      <c r="A196" t="s">
        <v>653</v>
      </c>
      <c r="B196" t="s">
        <v>30</v>
      </c>
      <c r="C196" t="s">
        <v>654</v>
      </c>
      <c r="D196" t="s">
        <v>655</v>
      </c>
      <c r="E196" t="s">
        <v>34</v>
      </c>
      <c r="F196" t="str">
        <f t="shared" si="37"/>
        <v>Data Analyst</v>
      </c>
      <c r="G196" t="str">
        <f t="shared" si="38"/>
        <v>Data Analyst</v>
      </c>
      <c r="H196" t="s">
        <v>47</v>
      </c>
      <c r="I196" t="s">
        <v>67</v>
      </c>
      <c r="J196" t="s">
        <v>49</v>
      </c>
      <c r="K196" t="str">
        <f t="shared" si="39"/>
        <v>Finance</v>
      </c>
      <c r="L196" t="str">
        <f t="shared" si="40"/>
        <v>Finance</v>
      </c>
      <c r="M196" t="s">
        <v>380</v>
      </c>
      <c r="N196" t="s">
        <v>1829</v>
      </c>
      <c r="O196" t="str">
        <f t="shared" si="42"/>
        <v>Others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tr">
        <f t="shared" si="43"/>
        <v>Good Work/Life Balance</v>
      </c>
      <c r="Y196" t="str">
        <f t="shared" si="44"/>
        <v>Good Work/Life Balance</v>
      </c>
      <c r="Z196" t="s">
        <v>41</v>
      </c>
      <c r="AA196">
        <v>33</v>
      </c>
      <c r="AB196" t="s">
        <v>42</v>
      </c>
      <c r="AC196" t="str">
        <f t="shared" si="45"/>
        <v>United States</v>
      </c>
      <c r="AD196" t="str">
        <f t="shared" si="46"/>
        <v>United States</v>
      </c>
      <c r="AE196" t="s">
        <v>241</v>
      </c>
      <c r="AF196" t="s">
        <v>43</v>
      </c>
      <c r="AG196" t="str">
        <f t="shared" si="36"/>
        <v>White or Caucasian</v>
      </c>
      <c r="AH196" t="str">
        <f t="shared" si="47"/>
        <v>White or Caucasian</v>
      </c>
    </row>
    <row r="197" spans="1:34" x14ac:dyDescent="0.25">
      <c r="A197" t="s">
        <v>656</v>
      </c>
      <c r="B197" t="s">
        <v>30</v>
      </c>
      <c r="C197" t="s">
        <v>657</v>
      </c>
      <c r="D197" t="s">
        <v>658</v>
      </c>
      <c r="E197" t="s">
        <v>34</v>
      </c>
      <c r="F197" t="str">
        <f t="shared" si="37"/>
        <v>Data Analyst</v>
      </c>
      <c r="G197" t="str">
        <f t="shared" si="38"/>
        <v>Data Analyst</v>
      </c>
      <c r="H197" t="s">
        <v>47</v>
      </c>
      <c r="I197" t="s">
        <v>98</v>
      </c>
      <c r="J197" t="s">
        <v>659</v>
      </c>
      <c r="K197" t="str">
        <f t="shared" si="39"/>
        <v>Energy (oil and gas)</v>
      </c>
      <c r="L197" t="str">
        <f t="shared" si="40"/>
        <v>Others</v>
      </c>
      <c r="M197" t="s">
        <v>660</v>
      </c>
      <c r="N197" t="str">
        <f t="shared" si="41"/>
        <v>Altery</v>
      </c>
      <c r="O197" t="str">
        <f t="shared" si="42"/>
        <v>Others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tr">
        <f t="shared" si="43"/>
        <v>Better Salary</v>
      </c>
      <c r="Y197" t="str">
        <f t="shared" si="44"/>
        <v>Better Salary</v>
      </c>
      <c r="Z197" t="s">
        <v>41</v>
      </c>
      <c r="AA197">
        <v>23</v>
      </c>
      <c r="AB197" t="s">
        <v>42</v>
      </c>
      <c r="AC197" t="str">
        <f t="shared" si="45"/>
        <v>United States</v>
      </c>
      <c r="AD197" t="str">
        <f t="shared" si="46"/>
        <v>United States</v>
      </c>
      <c r="AE197" t="s">
        <v>241</v>
      </c>
      <c r="AF197" t="s">
        <v>95</v>
      </c>
      <c r="AG197" t="str">
        <f t="shared" si="36"/>
        <v>Hispanic or Latino</v>
      </c>
      <c r="AH197" t="str">
        <f t="shared" si="47"/>
        <v>Hispanic or Latino</v>
      </c>
    </row>
    <row r="198" spans="1:34" x14ac:dyDescent="0.25">
      <c r="A198" t="s">
        <v>661</v>
      </c>
      <c r="B198" t="s">
        <v>30</v>
      </c>
      <c r="C198" t="s">
        <v>657</v>
      </c>
      <c r="D198" t="s">
        <v>161</v>
      </c>
      <c r="E198" t="s">
        <v>34</v>
      </c>
      <c r="F198" t="str">
        <f t="shared" si="37"/>
        <v>Data Analyst</v>
      </c>
      <c r="G198" t="str">
        <f t="shared" si="38"/>
        <v>Data Analyst</v>
      </c>
      <c r="H198" t="s">
        <v>35</v>
      </c>
      <c r="I198" t="s">
        <v>98</v>
      </c>
      <c r="J198" t="s">
        <v>107</v>
      </c>
      <c r="K198" t="str">
        <f t="shared" si="39"/>
        <v>Tech</v>
      </c>
      <c r="L198" t="str">
        <f t="shared" si="40"/>
        <v>Tech</v>
      </c>
      <c r="M198" t="s">
        <v>38</v>
      </c>
      <c r="N198" t="str">
        <f t="shared" si="41"/>
        <v>Python</v>
      </c>
      <c r="O198" t="str">
        <f t="shared" si="42"/>
        <v>Python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tr">
        <f t="shared" si="43"/>
        <v>Remote Work</v>
      </c>
      <c r="Y198" t="str">
        <f t="shared" si="44"/>
        <v>Remote Work</v>
      </c>
      <c r="Z198" t="s">
        <v>69</v>
      </c>
      <c r="AA198">
        <v>33</v>
      </c>
      <c r="AB198" t="s">
        <v>113</v>
      </c>
      <c r="AC198" t="str">
        <f t="shared" si="45"/>
        <v>United Kingdom</v>
      </c>
      <c r="AD198" t="str">
        <f t="shared" si="46"/>
        <v>United Kingdom</v>
      </c>
      <c r="AE198" t="s">
        <v>244</v>
      </c>
      <c r="AF198" t="s">
        <v>52</v>
      </c>
      <c r="AG198" t="str">
        <f t="shared" si="36"/>
        <v>Asian or Asian American</v>
      </c>
      <c r="AH198" t="str">
        <f t="shared" si="47"/>
        <v>Asian or Asian American</v>
      </c>
    </row>
    <row r="199" spans="1:34" x14ac:dyDescent="0.25">
      <c r="A199" t="s">
        <v>662</v>
      </c>
      <c r="B199" t="s">
        <v>30</v>
      </c>
      <c r="C199" t="s">
        <v>663</v>
      </c>
      <c r="D199" t="s">
        <v>440</v>
      </c>
      <c r="E199" t="s">
        <v>34</v>
      </c>
      <c r="F199" t="str">
        <f t="shared" si="37"/>
        <v>Data Analyst</v>
      </c>
      <c r="G199" t="str">
        <f t="shared" si="38"/>
        <v>Data Analyst</v>
      </c>
      <c r="H199" t="s">
        <v>47</v>
      </c>
      <c r="I199" t="s">
        <v>36</v>
      </c>
      <c r="J199" t="s">
        <v>49</v>
      </c>
      <c r="K199" t="str">
        <f t="shared" si="39"/>
        <v>Finance</v>
      </c>
      <c r="L199" t="str">
        <f t="shared" si="40"/>
        <v>Finance</v>
      </c>
      <c r="M199" t="s">
        <v>38</v>
      </c>
      <c r="N199" t="str">
        <f t="shared" si="41"/>
        <v>Python</v>
      </c>
      <c r="O199" t="str">
        <f t="shared" si="42"/>
        <v>Python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tr">
        <f t="shared" si="43"/>
        <v>Better Salary</v>
      </c>
      <c r="Y199" t="str">
        <f t="shared" si="44"/>
        <v>Better Salary</v>
      </c>
      <c r="Z199" t="s">
        <v>41</v>
      </c>
      <c r="AA199">
        <v>25</v>
      </c>
      <c r="AB199" t="s">
        <v>42</v>
      </c>
      <c r="AC199" t="str">
        <f t="shared" si="45"/>
        <v>United States</v>
      </c>
      <c r="AD199" t="str">
        <f t="shared" si="46"/>
        <v>United States</v>
      </c>
      <c r="AE199" t="s">
        <v>241</v>
      </c>
      <c r="AF199" t="s">
        <v>43</v>
      </c>
      <c r="AG199" t="str">
        <f t="shared" si="36"/>
        <v>White or Caucasian</v>
      </c>
      <c r="AH199" t="str">
        <f t="shared" si="47"/>
        <v>White or Caucasian</v>
      </c>
    </row>
    <row r="200" spans="1:34" x14ac:dyDescent="0.25">
      <c r="A200" t="s">
        <v>664</v>
      </c>
      <c r="B200" t="s">
        <v>30</v>
      </c>
      <c r="C200" t="s">
        <v>665</v>
      </c>
      <c r="D200" t="s">
        <v>666</v>
      </c>
      <c r="E200" t="s">
        <v>34</v>
      </c>
      <c r="F200" t="str">
        <f t="shared" si="37"/>
        <v>Data Analyst</v>
      </c>
      <c r="G200" t="str">
        <f t="shared" si="38"/>
        <v>Data Analyst</v>
      </c>
      <c r="H200" t="s">
        <v>47</v>
      </c>
      <c r="I200" t="s">
        <v>57</v>
      </c>
      <c r="J200" t="s">
        <v>667</v>
      </c>
      <c r="K200" t="str">
        <f t="shared" si="39"/>
        <v>Market research</v>
      </c>
      <c r="L200" t="str">
        <f t="shared" si="40"/>
        <v>Others</v>
      </c>
      <c r="M200" t="s">
        <v>38</v>
      </c>
      <c r="N200" t="str">
        <f t="shared" si="41"/>
        <v>Python</v>
      </c>
      <c r="O200" t="str">
        <f t="shared" si="42"/>
        <v>Python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tr">
        <f t="shared" si="43"/>
        <v>Remote Work</v>
      </c>
      <c r="Y200" t="str">
        <f t="shared" si="44"/>
        <v>Remote Work</v>
      </c>
      <c r="Z200" t="s">
        <v>69</v>
      </c>
      <c r="AA200">
        <v>27</v>
      </c>
      <c r="AB200" t="s">
        <v>668</v>
      </c>
      <c r="AC200" t="str">
        <f t="shared" si="45"/>
        <v>Kosovo</v>
      </c>
      <c r="AD200" t="str">
        <f t="shared" si="46"/>
        <v>Others</v>
      </c>
      <c r="AE200" t="s">
        <v>244</v>
      </c>
      <c r="AF200" t="s">
        <v>43</v>
      </c>
      <c r="AG200" t="str">
        <f t="shared" si="36"/>
        <v>White or Caucasian</v>
      </c>
      <c r="AH200" t="str">
        <f t="shared" si="47"/>
        <v>White or Caucasian</v>
      </c>
    </row>
    <row r="201" spans="1:34" x14ac:dyDescent="0.25">
      <c r="A201" t="s">
        <v>669</v>
      </c>
      <c r="B201" t="s">
        <v>30</v>
      </c>
      <c r="C201" t="s">
        <v>670</v>
      </c>
      <c r="D201" t="s">
        <v>379</v>
      </c>
      <c r="E201" t="s">
        <v>34</v>
      </c>
      <c r="F201" t="str">
        <f t="shared" si="37"/>
        <v>Data Analyst</v>
      </c>
      <c r="G201" t="str">
        <f t="shared" si="38"/>
        <v>Data Analyst</v>
      </c>
      <c r="H201" t="s">
        <v>35</v>
      </c>
      <c r="I201" t="s">
        <v>57</v>
      </c>
      <c r="J201" t="s">
        <v>49</v>
      </c>
      <c r="K201" t="str">
        <f t="shared" si="39"/>
        <v>Finance</v>
      </c>
      <c r="L201" t="str">
        <f t="shared" si="40"/>
        <v>Finance</v>
      </c>
      <c r="M201" t="s">
        <v>261</v>
      </c>
      <c r="N201" t="str">
        <f t="shared" si="41"/>
        <v>C/C++</v>
      </c>
      <c r="O201" t="str">
        <f t="shared" si="42"/>
        <v>C/C++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tr">
        <f t="shared" si="43"/>
        <v>Good Work/Life Balance</v>
      </c>
      <c r="Y201" t="str">
        <f t="shared" si="44"/>
        <v>Good Work/Life Balance</v>
      </c>
      <c r="Z201" t="s">
        <v>41</v>
      </c>
      <c r="AA201">
        <v>30</v>
      </c>
      <c r="AB201" t="s">
        <v>113</v>
      </c>
      <c r="AC201" t="str">
        <f t="shared" si="45"/>
        <v>United Kingdom</v>
      </c>
      <c r="AD201" t="str">
        <f t="shared" si="46"/>
        <v>United Kingdom</v>
      </c>
      <c r="AE201" t="s">
        <v>241</v>
      </c>
      <c r="AF201" t="s">
        <v>43</v>
      </c>
      <c r="AG201" t="str">
        <f t="shared" si="36"/>
        <v>White or Caucasian</v>
      </c>
      <c r="AH201" t="str">
        <f t="shared" si="47"/>
        <v>White or Caucasian</v>
      </c>
    </row>
    <row r="202" spans="1:34" x14ac:dyDescent="0.25">
      <c r="A202" t="s">
        <v>671</v>
      </c>
      <c r="B202" t="s">
        <v>30</v>
      </c>
      <c r="C202" t="s">
        <v>672</v>
      </c>
      <c r="D202" t="s">
        <v>308</v>
      </c>
      <c r="E202" t="s">
        <v>34</v>
      </c>
      <c r="F202" t="str">
        <f t="shared" si="37"/>
        <v>Data Analyst</v>
      </c>
      <c r="G202" t="str">
        <f t="shared" si="38"/>
        <v>Data Analyst</v>
      </c>
      <c r="H202" t="s">
        <v>35</v>
      </c>
      <c r="I202" t="s">
        <v>57</v>
      </c>
      <c r="J202" t="s">
        <v>107</v>
      </c>
      <c r="K202" t="str">
        <f t="shared" si="39"/>
        <v>Tech</v>
      </c>
      <c r="L202" t="str">
        <f t="shared" si="40"/>
        <v>Tech</v>
      </c>
      <c r="M202" t="s">
        <v>38</v>
      </c>
      <c r="N202" t="str">
        <f t="shared" si="41"/>
        <v>Python</v>
      </c>
      <c r="O202" t="str">
        <f t="shared" si="42"/>
        <v>Python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tr">
        <f t="shared" si="43"/>
        <v>Remote Work</v>
      </c>
      <c r="Y202" t="str">
        <f t="shared" si="44"/>
        <v>Remote Work</v>
      </c>
      <c r="Z202" t="s">
        <v>41</v>
      </c>
      <c r="AA202">
        <v>29</v>
      </c>
      <c r="AB202" t="s">
        <v>423</v>
      </c>
      <c r="AC202" t="str">
        <f t="shared" si="45"/>
        <v>Nigeria</v>
      </c>
      <c r="AD202" t="str">
        <f t="shared" si="46"/>
        <v>Nigeria</v>
      </c>
      <c r="AE202" t="s">
        <v>241</v>
      </c>
      <c r="AF202" t="s">
        <v>62</v>
      </c>
      <c r="AG202" t="str">
        <f t="shared" si="36"/>
        <v>Black or African American</v>
      </c>
      <c r="AH202" t="str">
        <f t="shared" si="47"/>
        <v>Black or African American</v>
      </c>
    </row>
    <row r="203" spans="1:34" x14ac:dyDescent="0.25">
      <c r="A203" t="s">
        <v>673</v>
      </c>
      <c r="B203" t="s">
        <v>30</v>
      </c>
      <c r="C203" t="s">
        <v>674</v>
      </c>
      <c r="D203" t="s">
        <v>675</v>
      </c>
      <c r="E203" t="s">
        <v>676</v>
      </c>
      <c r="F203" t="str">
        <f t="shared" si="37"/>
        <v>Analyst Primary Market Intelligence</v>
      </c>
      <c r="G203" t="str">
        <f t="shared" si="38"/>
        <v>Others</v>
      </c>
      <c r="H203" t="s">
        <v>35</v>
      </c>
      <c r="I203" t="s">
        <v>57</v>
      </c>
      <c r="J203" t="s">
        <v>37</v>
      </c>
      <c r="K203" t="str">
        <f t="shared" si="39"/>
        <v>Healthcare</v>
      </c>
      <c r="L203" t="str">
        <f t="shared" si="40"/>
        <v>Healthcare</v>
      </c>
      <c r="M203" t="s">
        <v>38</v>
      </c>
      <c r="N203" t="str">
        <f t="shared" si="41"/>
        <v>Python</v>
      </c>
      <c r="O203" t="str">
        <f t="shared" si="42"/>
        <v>Python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tr">
        <f t="shared" si="43"/>
        <v>Better Salary</v>
      </c>
      <c r="Y203" t="str">
        <f t="shared" si="44"/>
        <v>Better Salary</v>
      </c>
      <c r="Z203" t="s">
        <v>41</v>
      </c>
      <c r="AA203">
        <v>25</v>
      </c>
      <c r="AB203" t="s">
        <v>151</v>
      </c>
      <c r="AC203" t="str">
        <f t="shared" si="45"/>
        <v>India</v>
      </c>
      <c r="AD203" t="str">
        <f t="shared" si="46"/>
        <v>India</v>
      </c>
      <c r="AE203" t="s">
        <v>244</v>
      </c>
      <c r="AF203" t="s">
        <v>204</v>
      </c>
      <c r="AG203" t="str">
        <f t="shared" si="36"/>
        <v>Indian</v>
      </c>
      <c r="AH203" t="str">
        <f t="shared" si="47"/>
        <v>Indian</v>
      </c>
    </row>
    <row r="204" spans="1:34" x14ac:dyDescent="0.25">
      <c r="A204" t="s">
        <v>677</v>
      </c>
      <c r="B204" t="s">
        <v>30</v>
      </c>
      <c r="C204" t="s">
        <v>674</v>
      </c>
      <c r="D204" t="s">
        <v>301</v>
      </c>
      <c r="E204" t="s">
        <v>34</v>
      </c>
      <c r="F204" t="str">
        <f t="shared" si="37"/>
        <v>Data Analyst</v>
      </c>
      <c r="G204" t="str">
        <f t="shared" si="38"/>
        <v>Data Analyst</v>
      </c>
      <c r="H204" t="s">
        <v>47</v>
      </c>
      <c r="I204" t="s">
        <v>91</v>
      </c>
      <c r="J204" t="s">
        <v>94</v>
      </c>
      <c r="K204" t="str">
        <f t="shared" si="39"/>
        <v>Telecommunication</v>
      </c>
      <c r="L204" t="str">
        <f t="shared" si="40"/>
        <v>Telecommunication</v>
      </c>
      <c r="M204" t="s">
        <v>678</v>
      </c>
      <c r="N204" t="str">
        <f t="shared" si="41"/>
        <v>None</v>
      </c>
      <c r="O204" t="str">
        <f t="shared" si="42"/>
        <v>None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tr">
        <f t="shared" si="43"/>
        <v>Remote Work</v>
      </c>
      <c r="Y204" t="str">
        <f t="shared" si="44"/>
        <v>Remote Work</v>
      </c>
      <c r="Z204" t="s">
        <v>41</v>
      </c>
      <c r="AA204">
        <v>40</v>
      </c>
      <c r="AB204" t="s">
        <v>42</v>
      </c>
      <c r="AC204" t="str">
        <f t="shared" si="45"/>
        <v>United States</v>
      </c>
      <c r="AD204" t="str">
        <f t="shared" si="46"/>
        <v>United States</v>
      </c>
      <c r="AE204" t="s">
        <v>231</v>
      </c>
      <c r="AF204" t="s">
        <v>95</v>
      </c>
      <c r="AG204" t="str">
        <f t="shared" si="36"/>
        <v>Hispanic or Latino</v>
      </c>
      <c r="AH204" t="str">
        <f t="shared" si="47"/>
        <v>Hispanic or Latino</v>
      </c>
    </row>
    <row r="205" spans="1:34" x14ac:dyDescent="0.25">
      <c r="A205" t="s">
        <v>679</v>
      </c>
      <c r="B205" t="s">
        <v>30</v>
      </c>
      <c r="C205" t="s">
        <v>680</v>
      </c>
      <c r="D205" t="s">
        <v>681</v>
      </c>
      <c r="E205" t="s">
        <v>34</v>
      </c>
      <c r="F205" t="str">
        <f t="shared" si="37"/>
        <v>Data Analyst</v>
      </c>
      <c r="G205" t="str">
        <f t="shared" si="38"/>
        <v>Data Analyst</v>
      </c>
      <c r="H205" t="s">
        <v>47</v>
      </c>
      <c r="I205" t="s">
        <v>48</v>
      </c>
      <c r="J205" t="s">
        <v>490</v>
      </c>
      <c r="K205" t="str">
        <f t="shared" si="39"/>
        <v>Government</v>
      </c>
      <c r="L205" t="str">
        <f t="shared" si="40"/>
        <v>Others</v>
      </c>
      <c r="M205" t="s">
        <v>380</v>
      </c>
      <c r="N205" t="s">
        <v>1829</v>
      </c>
      <c r="O205" t="str">
        <f t="shared" si="42"/>
        <v>Others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tr">
        <f t="shared" si="43"/>
        <v>Better Salary</v>
      </c>
      <c r="Y205" t="str">
        <f t="shared" si="44"/>
        <v>Better Salary</v>
      </c>
      <c r="Z205" t="s">
        <v>69</v>
      </c>
      <c r="AA205">
        <v>29</v>
      </c>
      <c r="AB205" t="s">
        <v>51</v>
      </c>
      <c r="AC205" t="str">
        <f t="shared" si="45"/>
        <v>Canada</v>
      </c>
      <c r="AD205" t="str">
        <f t="shared" si="46"/>
        <v>Canada</v>
      </c>
      <c r="AE205" t="s">
        <v>241</v>
      </c>
      <c r="AF205" t="s">
        <v>82</v>
      </c>
      <c r="AG205" t="str">
        <f t="shared" si="36"/>
        <v>Other</v>
      </c>
      <c r="AH205" t="str">
        <f t="shared" si="47"/>
        <v>Others</v>
      </c>
    </row>
    <row r="206" spans="1:34" x14ac:dyDescent="0.25">
      <c r="A206" t="s">
        <v>682</v>
      </c>
      <c r="B206" t="s">
        <v>30</v>
      </c>
      <c r="C206" t="s">
        <v>680</v>
      </c>
      <c r="D206" t="s">
        <v>683</v>
      </c>
      <c r="E206" t="s">
        <v>34</v>
      </c>
      <c r="F206" t="str">
        <f t="shared" si="37"/>
        <v>Data Analyst</v>
      </c>
      <c r="G206" t="str">
        <f t="shared" si="38"/>
        <v>Data Analyst</v>
      </c>
      <c r="H206" t="s">
        <v>47</v>
      </c>
      <c r="I206" t="s">
        <v>48</v>
      </c>
      <c r="J206" t="s">
        <v>82</v>
      </c>
      <c r="K206" t="str">
        <f t="shared" si="39"/>
        <v>Other</v>
      </c>
      <c r="L206" t="str">
        <f t="shared" si="40"/>
        <v>Others</v>
      </c>
      <c r="M206" t="s">
        <v>38</v>
      </c>
      <c r="N206" t="str">
        <f t="shared" si="41"/>
        <v>Python</v>
      </c>
      <c r="O206" t="str">
        <f t="shared" si="42"/>
        <v>Python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tr">
        <f t="shared" si="43"/>
        <v>Remote Work</v>
      </c>
      <c r="Y206" t="str">
        <f t="shared" si="44"/>
        <v>Remote Work</v>
      </c>
      <c r="Z206" t="s">
        <v>41</v>
      </c>
      <c r="AA206">
        <v>29</v>
      </c>
      <c r="AB206" t="s">
        <v>151</v>
      </c>
      <c r="AC206" t="str">
        <f t="shared" si="45"/>
        <v>India</v>
      </c>
      <c r="AD206" t="str">
        <f t="shared" si="46"/>
        <v>India</v>
      </c>
      <c r="AE206" t="s">
        <v>244</v>
      </c>
      <c r="AF206" t="s">
        <v>52</v>
      </c>
      <c r="AG206" t="str">
        <f t="shared" si="36"/>
        <v>Asian or Asian American</v>
      </c>
      <c r="AH206" t="str">
        <f t="shared" si="47"/>
        <v>Asian or Asian American</v>
      </c>
    </row>
    <row r="207" spans="1:34" x14ac:dyDescent="0.25">
      <c r="A207" t="s">
        <v>684</v>
      </c>
      <c r="B207" t="s">
        <v>30</v>
      </c>
      <c r="C207" t="s">
        <v>685</v>
      </c>
      <c r="D207" t="s">
        <v>686</v>
      </c>
      <c r="E207" t="s">
        <v>34</v>
      </c>
      <c r="F207" t="str">
        <f t="shared" si="37"/>
        <v>Data Analyst</v>
      </c>
      <c r="G207" t="str">
        <f t="shared" si="38"/>
        <v>Data Analyst</v>
      </c>
      <c r="H207" t="s">
        <v>35</v>
      </c>
      <c r="I207" t="s">
        <v>57</v>
      </c>
      <c r="J207" t="s">
        <v>112</v>
      </c>
      <c r="K207" t="str">
        <f t="shared" si="39"/>
        <v>Education</v>
      </c>
      <c r="L207" t="str">
        <f t="shared" si="40"/>
        <v>Education</v>
      </c>
      <c r="M207" t="s">
        <v>38</v>
      </c>
      <c r="N207" t="str">
        <f t="shared" si="41"/>
        <v>Python</v>
      </c>
      <c r="O207" t="str">
        <f t="shared" si="42"/>
        <v>Python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tr">
        <f t="shared" si="43"/>
        <v>Better Salary</v>
      </c>
      <c r="Y207" t="str">
        <f t="shared" si="44"/>
        <v>Better Salary</v>
      </c>
      <c r="Z207" t="s">
        <v>41</v>
      </c>
      <c r="AA207">
        <v>28</v>
      </c>
      <c r="AB207" t="s">
        <v>423</v>
      </c>
      <c r="AC207" t="str">
        <f t="shared" si="45"/>
        <v>Nigeria</v>
      </c>
      <c r="AD207" t="str">
        <f t="shared" si="46"/>
        <v>Nigeria</v>
      </c>
      <c r="AE207" t="s">
        <v>244</v>
      </c>
      <c r="AF207" t="s">
        <v>62</v>
      </c>
      <c r="AG207" t="str">
        <f t="shared" si="36"/>
        <v>Black or African American</v>
      </c>
      <c r="AH207" t="str">
        <f t="shared" si="47"/>
        <v>Black or African American</v>
      </c>
    </row>
    <row r="208" spans="1:34" x14ac:dyDescent="0.25">
      <c r="A208" t="s">
        <v>687</v>
      </c>
      <c r="B208" t="s">
        <v>30</v>
      </c>
      <c r="C208" t="s">
        <v>688</v>
      </c>
      <c r="D208" t="s">
        <v>150</v>
      </c>
      <c r="E208" t="s">
        <v>689</v>
      </c>
      <c r="F208" t="str">
        <f t="shared" si="37"/>
        <v>software engineer</v>
      </c>
      <c r="G208" t="str">
        <f t="shared" si="38"/>
        <v>Others</v>
      </c>
      <c r="H208" t="s">
        <v>47</v>
      </c>
      <c r="I208" t="s">
        <v>91</v>
      </c>
      <c r="J208" t="s">
        <v>690</v>
      </c>
      <c r="K208" t="str">
        <f t="shared" si="39"/>
        <v>hospitality</v>
      </c>
      <c r="L208" t="str">
        <f t="shared" si="40"/>
        <v>Others</v>
      </c>
      <c r="M208" t="s">
        <v>691</v>
      </c>
      <c r="N208" t="str">
        <f t="shared" si="41"/>
        <v>c#</v>
      </c>
      <c r="O208" t="str">
        <f t="shared" si="42"/>
        <v>Others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tr">
        <f t="shared" si="43"/>
        <v>Good Work/Life Balance</v>
      </c>
      <c r="Y208" t="str">
        <f t="shared" si="44"/>
        <v>Good Work/Life Balance</v>
      </c>
      <c r="Z208" t="s">
        <v>41</v>
      </c>
      <c r="AA208">
        <v>34</v>
      </c>
      <c r="AB208" t="s">
        <v>113</v>
      </c>
      <c r="AC208" t="str">
        <f t="shared" si="45"/>
        <v>United Kingdom</v>
      </c>
      <c r="AD208" t="str">
        <f t="shared" si="46"/>
        <v>United Kingdom</v>
      </c>
      <c r="AE208" t="s">
        <v>241</v>
      </c>
      <c r="AF208" t="s">
        <v>43</v>
      </c>
      <c r="AG208" t="str">
        <f t="shared" si="36"/>
        <v>White or Caucasian</v>
      </c>
      <c r="AH208" t="str">
        <f t="shared" si="47"/>
        <v>White or Caucasian</v>
      </c>
    </row>
    <row r="209" spans="1:34" x14ac:dyDescent="0.25">
      <c r="A209" t="s">
        <v>692</v>
      </c>
      <c r="B209" t="s">
        <v>30</v>
      </c>
      <c r="C209" t="s">
        <v>693</v>
      </c>
      <c r="D209" t="s">
        <v>694</v>
      </c>
      <c r="E209" t="s">
        <v>127</v>
      </c>
      <c r="F209" t="str">
        <f t="shared" si="37"/>
        <v>Student/Looking/None</v>
      </c>
      <c r="G209" t="str">
        <f t="shared" si="38"/>
        <v>Student/Looking/None</v>
      </c>
      <c r="H209" t="s">
        <v>47</v>
      </c>
      <c r="I209" t="s">
        <v>57</v>
      </c>
      <c r="J209" t="s">
        <v>107</v>
      </c>
      <c r="K209" t="str">
        <f t="shared" si="39"/>
        <v>Tech</v>
      </c>
      <c r="L209" t="str">
        <f t="shared" si="40"/>
        <v>Tech</v>
      </c>
      <c r="M209" t="s">
        <v>38</v>
      </c>
      <c r="N209" t="str">
        <f t="shared" si="41"/>
        <v>Python</v>
      </c>
      <c r="O209" t="str">
        <f t="shared" si="42"/>
        <v>Python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tr">
        <f t="shared" si="43"/>
        <v>Learning possibilities</v>
      </c>
      <c r="Y209" t="str">
        <f t="shared" si="44"/>
        <v>Others</v>
      </c>
      <c r="Z209" t="s">
        <v>41</v>
      </c>
      <c r="AA209">
        <v>24</v>
      </c>
      <c r="AB209" t="s">
        <v>616</v>
      </c>
      <c r="AC209" t="str">
        <f t="shared" si="45"/>
        <v>Belgium</v>
      </c>
      <c r="AD209" t="str">
        <f t="shared" si="46"/>
        <v>Others</v>
      </c>
      <c r="AE209" t="s">
        <v>244</v>
      </c>
      <c r="AF209" t="s">
        <v>43</v>
      </c>
      <c r="AG209" t="str">
        <f t="shared" si="36"/>
        <v>White or Caucasian</v>
      </c>
      <c r="AH209" t="str">
        <f t="shared" si="47"/>
        <v>White or Caucasian</v>
      </c>
    </row>
    <row r="210" spans="1:34" x14ac:dyDescent="0.25">
      <c r="A210" t="s">
        <v>696</v>
      </c>
      <c r="B210" t="s">
        <v>30</v>
      </c>
      <c r="C210" t="s">
        <v>697</v>
      </c>
      <c r="D210" t="s">
        <v>698</v>
      </c>
      <c r="E210" t="s">
        <v>34</v>
      </c>
      <c r="F210" t="str">
        <f t="shared" si="37"/>
        <v>Data Analyst</v>
      </c>
      <c r="G210" t="str">
        <f t="shared" si="38"/>
        <v>Data Analyst</v>
      </c>
      <c r="H210" t="s">
        <v>35</v>
      </c>
      <c r="I210" t="s">
        <v>57</v>
      </c>
      <c r="J210" t="s">
        <v>94</v>
      </c>
      <c r="K210" t="str">
        <f t="shared" si="39"/>
        <v>Telecommunication</v>
      </c>
      <c r="L210" t="str">
        <f t="shared" si="40"/>
        <v>Telecommunication</v>
      </c>
      <c r="M210" t="s">
        <v>38</v>
      </c>
      <c r="N210" t="str">
        <f t="shared" si="41"/>
        <v>Python</v>
      </c>
      <c r="O210" t="str">
        <f t="shared" si="42"/>
        <v>Python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tr">
        <f t="shared" si="43"/>
        <v>Better Salary</v>
      </c>
      <c r="Y210" t="str">
        <f t="shared" si="44"/>
        <v>Better Salary</v>
      </c>
      <c r="Z210" t="s">
        <v>41</v>
      </c>
      <c r="AA210">
        <v>26</v>
      </c>
      <c r="AB210" t="s">
        <v>699</v>
      </c>
      <c r="AC210" t="str">
        <f t="shared" si="45"/>
        <v>Iraq</v>
      </c>
      <c r="AD210" t="str">
        <f t="shared" si="46"/>
        <v>Others</v>
      </c>
      <c r="AE210" t="s">
        <v>241</v>
      </c>
      <c r="AF210" t="s">
        <v>700</v>
      </c>
      <c r="AG210" t="str">
        <f t="shared" si="36"/>
        <v>Kurdish</v>
      </c>
      <c r="AH210" t="str">
        <f t="shared" si="47"/>
        <v>Others</v>
      </c>
    </row>
    <row r="211" spans="1:34" x14ac:dyDescent="0.25">
      <c r="A211" t="s">
        <v>701</v>
      </c>
      <c r="B211" t="s">
        <v>30</v>
      </c>
      <c r="C211" t="s">
        <v>702</v>
      </c>
      <c r="D211" t="s">
        <v>132</v>
      </c>
      <c r="E211" t="s">
        <v>34</v>
      </c>
      <c r="F211" t="str">
        <f t="shared" si="37"/>
        <v>Data Analyst</v>
      </c>
      <c r="G211" t="str">
        <f t="shared" si="38"/>
        <v>Data Analyst</v>
      </c>
      <c r="H211" t="s">
        <v>47</v>
      </c>
      <c r="I211" t="s">
        <v>86</v>
      </c>
      <c r="J211" t="s">
        <v>107</v>
      </c>
      <c r="K211" t="str">
        <f t="shared" si="39"/>
        <v>Tech</v>
      </c>
      <c r="L211" t="str">
        <f t="shared" si="40"/>
        <v>Tech</v>
      </c>
      <c r="M211" t="s">
        <v>38</v>
      </c>
      <c r="N211" t="str">
        <f t="shared" si="41"/>
        <v>Python</v>
      </c>
      <c r="O211" t="str">
        <f t="shared" si="42"/>
        <v>Python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tr">
        <f t="shared" si="43"/>
        <v>Good Work/Life Balance</v>
      </c>
      <c r="Y211" t="str">
        <f t="shared" si="44"/>
        <v>Good Work/Life Balance</v>
      </c>
      <c r="Z211" t="s">
        <v>41</v>
      </c>
      <c r="AA211">
        <v>28</v>
      </c>
      <c r="AB211" t="s">
        <v>42</v>
      </c>
      <c r="AC211" t="str">
        <f t="shared" si="45"/>
        <v>United States</v>
      </c>
      <c r="AD211" t="str">
        <f t="shared" si="46"/>
        <v>United States</v>
      </c>
      <c r="AE211" t="s">
        <v>241</v>
      </c>
      <c r="AF211" t="s">
        <v>95</v>
      </c>
      <c r="AG211" t="str">
        <f t="shared" si="36"/>
        <v>Hispanic or Latino</v>
      </c>
      <c r="AH211" t="str">
        <f t="shared" si="47"/>
        <v>Hispanic or Latino</v>
      </c>
    </row>
    <row r="212" spans="1:34" x14ac:dyDescent="0.25">
      <c r="A212" t="s">
        <v>703</v>
      </c>
      <c r="B212" t="s">
        <v>30</v>
      </c>
      <c r="C212" t="s">
        <v>702</v>
      </c>
      <c r="D212" t="s">
        <v>704</v>
      </c>
      <c r="E212" t="s">
        <v>127</v>
      </c>
      <c r="F212" t="str">
        <f t="shared" si="37"/>
        <v>Student/Looking/None</v>
      </c>
      <c r="G212" t="str">
        <f t="shared" si="38"/>
        <v>Student/Looking/None</v>
      </c>
      <c r="H212" t="s">
        <v>47</v>
      </c>
      <c r="I212" t="s">
        <v>57</v>
      </c>
      <c r="J212" t="s">
        <v>112</v>
      </c>
      <c r="K212" t="str">
        <f t="shared" si="39"/>
        <v>Education</v>
      </c>
      <c r="L212" t="str">
        <f t="shared" si="40"/>
        <v>Education</v>
      </c>
      <c r="M212" t="s">
        <v>50</v>
      </c>
      <c r="N212" t="str">
        <f t="shared" si="41"/>
        <v>R</v>
      </c>
      <c r="O212" t="str">
        <f t="shared" si="42"/>
        <v>R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tr">
        <f t="shared" si="43"/>
        <v>Good Work/Life Balance</v>
      </c>
      <c r="Y212" t="str">
        <f t="shared" si="44"/>
        <v>Good Work/Life Balance</v>
      </c>
      <c r="Z212" t="s">
        <v>41</v>
      </c>
      <c r="AA212">
        <v>25</v>
      </c>
      <c r="AB212" t="s">
        <v>271</v>
      </c>
      <c r="AC212" t="str">
        <f t="shared" si="45"/>
        <v>Germany</v>
      </c>
      <c r="AD212" t="str">
        <f t="shared" si="46"/>
        <v>Germany</v>
      </c>
      <c r="AE212" t="s">
        <v>244</v>
      </c>
      <c r="AF212" t="s">
        <v>43</v>
      </c>
      <c r="AG212" t="str">
        <f t="shared" si="36"/>
        <v>White or Caucasian</v>
      </c>
      <c r="AH212" t="str">
        <f t="shared" si="47"/>
        <v>White or Caucasian</v>
      </c>
    </row>
    <row r="213" spans="1:34" x14ac:dyDescent="0.25">
      <c r="A213" t="s">
        <v>705</v>
      </c>
      <c r="B213" t="s">
        <v>30</v>
      </c>
      <c r="C213" t="s">
        <v>706</v>
      </c>
      <c r="D213" t="s">
        <v>707</v>
      </c>
      <c r="E213" t="s">
        <v>34</v>
      </c>
      <c r="F213" t="str">
        <f t="shared" si="37"/>
        <v>Data Analyst</v>
      </c>
      <c r="G213" t="str">
        <f t="shared" si="38"/>
        <v>Data Analyst</v>
      </c>
      <c r="H213" t="s">
        <v>35</v>
      </c>
      <c r="I213" t="s">
        <v>57</v>
      </c>
      <c r="J213" t="s">
        <v>107</v>
      </c>
      <c r="K213" t="str">
        <f t="shared" si="39"/>
        <v>Tech</v>
      </c>
      <c r="L213" t="str">
        <f t="shared" si="40"/>
        <v>Tech</v>
      </c>
      <c r="M213" t="s">
        <v>38</v>
      </c>
      <c r="N213" t="str">
        <f t="shared" si="41"/>
        <v>Python</v>
      </c>
      <c r="O213" t="str">
        <f t="shared" si="42"/>
        <v>Python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tr">
        <f t="shared" si="43"/>
        <v>Better Salary</v>
      </c>
      <c r="Y213" t="str">
        <f t="shared" si="44"/>
        <v>Better Salary</v>
      </c>
      <c r="Z213" t="s">
        <v>41</v>
      </c>
      <c r="AA213">
        <v>33</v>
      </c>
      <c r="AB213" t="s">
        <v>265</v>
      </c>
      <c r="AC213" t="str">
        <f t="shared" si="45"/>
        <v>Colombia</v>
      </c>
      <c r="AD213" t="str">
        <f t="shared" si="46"/>
        <v>Others</v>
      </c>
      <c r="AE213" t="s">
        <v>241</v>
      </c>
      <c r="AF213" t="s">
        <v>95</v>
      </c>
      <c r="AG213" t="str">
        <f t="shared" si="36"/>
        <v>Hispanic or Latino</v>
      </c>
      <c r="AH213" t="str">
        <f t="shared" si="47"/>
        <v>Hispanic or Latino</v>
      </c>
    </row>
    <row r="214" spans="1:34" x14ac:dyDescent="0.25">
      <c r="A214" t="s">
        <v>708</v>
      </c>
      <c r="B214" t="s">
        <v>30</v>
      </c>
      <c r="C214" t="s">
        <v>706</v>
      </c>
      <c r="D214" t="s">
        <v>289</v>
      </c>
      <c r="E214" t="s">
        <v>34</v>
      </c>
      <c r="F214" t="str">
        <f t="shared" si="37"/>
        <v>Data Analyst</v>
      </c>
      <c r="G214" t="str">
        <f t="shared" si="38"/>
        <v>Data Analyst</v>
      </c>
      <c r="H214" t="s">
        <v>35</v>
      </c>
      <c r="I214" t="s">
        <v>98</v>
      </c>
      <c r="J214" t="s">
        <v>49</v>
      </c>
      <c r="K214" t="str">
        <f t="shared" si="39"/>
        <v>Finance</v>
      </c>
      <c r="L214" t="str">
        <f t="shared" si="40"/>
        <v>Finance</v>
      </c>
      <c r="M214" t="s">
        <v>38</v>
      </c>
      <c r="N214" t="str">
        <f t="shared" si="41"/>
        <v>Python</v>
      </c>
      <c r="O214" t="str">
        <f t="shared" si="42"/>
        <v>Python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tr">
        <f t="shared" si="43"/>
        <v>Remote Work</v>
      </c>
      <c r="Y214" t="str">
        <f t="shared" si="44"/>
        <v>Remote Work</v>
      </c>
      <c r="Z214" t="s">
        <v>41</v>
      </c>
      <c r="AA214">
        <v>30</v>
      </c>
      <c r="AB214" t="s">
        <v>496</v>
      </c>
      <c r="AC214" t="str">
        <f t="shared" si="45"/>
        <v>Ireland</v>
      </c>
      <c r="AD214" t="str">
        <f t="shared" si="46"/>
        <v>Others</v>
      </c>
      <c r="AE214" t="s">
        <v>244</v>
      </c>
      <c r="AF214" t="s">
        <v>43</v>
      </c>
      <c r="AG214" t="str">
        <f t="shared" si="36"/>
        <v>White or Caucasian</v>
      </c>
      <c r="AH214" t="str">
        <f t="shared" si="47"/>
        <v>White or Caucasian</v>
      </c>
    </row>
    <row r="215" spans="1:34" x14ac:dyDescent="0.25">
      <c r="A215" t="s">
        <v>709</v>
      </c>
      <c r="B215" t="s">
        <v>30</v>
      </c>
      <c r="C215" t="s">
        <v>710</v>
      </c>
      <c r="D215" t="s">
        <v>476</v>
      </c>
      <c r="E215" t="s">
        <v>34</v>
      </c>
      <c r="F215" t="str">
        <f t="shared" si="37"/>
        <v>Data Analyst</v>
      </c>
      <c r="G215" t="str">
        <f t="shared" si="38"/>
        <v>Data Analyst</v>
      </c>
      <c r="H215" t="s">
        <v>35</v>
      </c>
      <c r="I215" t="s">
        <v>57</v>
      </c>
      <c r="J215" t="s">
        <v>49</v>
      </c>
      <c r="K215" t="str">
        <f t="shared" si="39"/>
        <v>Finance</v>
      </c>
      <c r="L215" t="str">
        <f t="shared" si="40"/>
        <v>Finance</v>
      </c>
      <c r="M215" t="s">
        <v>38</v>
      </c>
      <c r="N215" t="str">
        <f t="shared" si="41"/>
        <v>Python</v>
      </c>
      <c r="O215" t="str">
        <f t="shared" si="42"/>
        <v>Python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tr">
        <f t="shared" si="43"/>
        <v>Better Salary</v>
      </c>
      <c r="Y215" t="str">
        <f t="shared" si="44"/>
        <v>Better Salary</v>
      </c>
      <c r="Z215" t="s">
        <v>41</v>
      </c>
      <c r="AA215">
        <v>35</v>
      </c>
      <c r="AB215" t="s">
        <v>151</v>
      </c>
      <c r="AC215" t="str">
        <f t="shared" si="45"/>
        <v>India</v>
      </c>
      <c r="AD215" t="str">
        <f t="shared" si="46"/>
        <v>India</v>
      </c>
      <c r="AE215" t="s">
        <v>241</v>
      </c>
      <c r="AF215" t="s">
        <v>204</v>
      </c>
      <c r="AG215" t="str">
        <f t="shared" si="36"/>
        <v>Indian</v>
      </c>
      <c r="AH215" t="str">
        <f t="shared" si="47"/>
        <v>Indian</v>
      </c>
    </row>
    <row r="216" spans="1:34" x14ac:dyDescent="0.25">
      <c r="A216" t="s">
        <v>711</v>
      </c>
      <c r="B216" t="s">
        <v>30</v>
      </c>
      <c r="C216" t="s">
        <v>712</v>
      </c>
      <c r="D216" t="s">
        <v>233</v>
      </c>
      <c r="E216" t="s">
        <v>34</v>
      </c>
      <c r="F216" t="str">
        <f t="shared" si="37"/>
        <v>Data Analyst</v>
      </c>
      <c r="G216" t="str">
        <f t="shared" si="38"/>
        <v>Data Analyst</v>
      </c>
      <c r="H216" t="s">
        <v>47</v>
      </c>
      <c r="I216" t="s">
        <v>57</v>
      </c>
      <c r="J216" t="s">
        <v>182</v>
      </c>
      <c r="K216" t="str">
        <f t="shared" si="39"/>
        <v>Automotive</v>
      </c>
      <c r="L216" t="str">
        <f t="shared" si="40"/>
        <v>Others</v>
      </c>
      <c r="M216" t="s">
        <v>678</v>
      </c>
      <c r="N216" t="str">
        <f t="shared" si="41"/>
        <v>None</v>
      </c>
      <c r="O216" t="str">
        <f t="shared" si="42"/>
        <v>None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tr">
        <f t="shared" si="43"/>
        <v>Better Salary</v>
      </c>
      <c r="Y216" t="str">
        <f t="shared" si="44"/>
        <v>Better Salary</v>
      </c>
      <c r="Z216" t="s">
        <v>41</v>
      </c>
      <c r="AA216">
        <v>25</v>
      </c>
      <c r="AB216" t="s">
        <v>713</v>
      </c>
      <c r="AC216" t="str">
        <f t="shared" si="45"/>
        <v>Romania</v>
      </c>
      <c r="AD216" t="str">
        <f t="shared" si="46"/>
        <v>Others</v>
      </c>
      <c r="AE216" t="s">
        <v>241</v>
      </c>
      <c r="AF216" t="s">
        <v>43</v>
      </c>
      <c r="AG216" t="str">
        <f t="shared" si="36"/>
        <v>White or Caucasian</v>
      </c>
      <c r="AH216" t="str">
        <f t="shared" si="47"/>
        <v>White or Caucasian</v>
      </c>
    </row>
    <row r="217" spans="1:34" x14ac:dyDescent="0.25">
      <c r="A217" t="s">
        <v>714</v>
      </c>
      <c r="B217" t="s">
        <v>30</v>
      </c>
      <c r="C217" t="s">
        <v>715</v>
      </c>
      <c r="D217" t="s">
        <v>132</v>
      </c>
      <c r="E217" t="s">
        <v>34</v>
      </c>
      <c r="F217" t="str">
        <f t="shared" si="37"/>
        <v>Data Analyst</v>
      </c>
      <c r="G217" t="str">
        <f t="shared" si="38"/>
        <v>Data Analyst</v>
      </c>
      <c r="H217" t="s">
        <v>47</v>
      </c>
      <c r="I217" t="s">
        <v>57</v>
      </c>
      <c r="J217" t="s">
        <v>716</v>
      </c>
      <c r="K217" t="str">
        <f t="shared" si="39"/>
        <v>Real Estate</v>
      </c>
      <c r="L217" t="str">
        <f t="shared" si="40"/>
        <v>Real Estate</v>
      </c>
      <c r="M217" t="s">
        <v>38</v>
      </c>
      <c r="N217" t="str">
        <f t="shared" si="41"/>
        <v>Python</v>
      </c>
      <c r="O217" t="str">
        <f t="shared" si="42"/>
        <v>Python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tr">
        <f t="shared" si="43"/>
        <v>Better Salary</v>
      </c>
      <c r="Y217" t="str">
        <f t="shared" si="44"/>
        <v>Better Salary</v>
      </c>
      <c r="Z217" t="s">
        <v>41</v>
      </c>
      <c r="AA217">
        <v>23</v>
      </c>
      <c r="AB217" t="s">
        <v>211</v>
      </c>
      <c r="AC217" t="str">
        <f t="shared" si="45"/>
        <v>Spain</v>
      </c>
      <c r="AD217" t="str">
        <f t="shared" si="46"/>
        <v>Spain</v>
      </c>
      <c r="AE217" t="s">
        <v>241</v>
      </c>
      <c r="AF217" t="s">
        <v>43</v>
      </c>
      <c r="AG217" t="str">
        <f t="shared" si="36"/>
        <v>White or Caucasian</v>
      </c>
      <c r="AH217" t="str">
        <f t="shared" si="47"/>
        <v>White or Caucasian</v>
      </c>
    </row>
    <row r="218" spans="1:34" x14ac:dyDescent="0.25">
      <c r="A218" t="s">
        <v>717</v>
      </c>
      <c r="B218" t="s">
        <v>30</v>
      </c>
      <c r="C218" t="s">
        <v>718</v>
      </c>
      <c r="D218" t="s">
        <v>65</v>
      </c>
      <c r="E218" t="s">
        <v>56</v>
      </c>
      <c r="F218" t="str">
        <f t="shared" si="37"/>
        <v>Data Engineer</v>
      </c>
      <c r="G218" t="str">
        <f t="shared" si="38"/>
        <v>Data Engineer</v>
      </c>
      <c r="H218" t="s">
        <v>47</v>
      </c>
      <c r="I218" t="s">
        <v>57</v>
      </c>
      <c r="J218" t="s">
        <v>37</v>
      </c>
      <c r="K218" t="str">
        <f t="shared" si="39"/>
        <v>Healthcare</v>
      </c>
      <c r="L218" t="str">
        <f t="shared" si="40"/>
        <v>Healthcare</v>
      </c>
      <c r="M218" t="s">
        <v>38</v>
      </c>
      <c r="N218" t="str">
        <f t="shared" si="41"/>
        <v>Python</v>
      </c>
      <c r="O218" t="str">
        <f t="shared" si="42"/>
        <v>Python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tr">
        <f t="shared" si="43"/>
        <v>Good Work/Life Balance</v>
      </c>
      <c r="Y218" t="str">
        <f t="shared" si="44"/>
        <v>Good Work/Life Balance</v>
      </c>
      <c r="Z218" t="s">
        <v>41</v>
      </c>
      <c r="AA218">
        <v>24</v>
      </c>
      <c r="AB218" t="s">
        <v>351</v>
      </c>
      <c r="AC218" t="str">
        <f t="shared" si="45"/>
        <v>Mexico</v>
      </c>
      <c r="AD218" t="str">
        <f t="shared" si="46"/>
        <v>Mexico</v>
      </c>
      <c r="AE218" t="s">
        <v>241</v>
      </c>
      <c r="AF218" t="s">
        <v>95</v>
      </c>
      <c r="AG218" t="str">
        <f t="shared" si="36"/>
        <v>Hispanic or Latino</v>
      </c>
      <c r="AH218" t="str">
        <f t="shared" si="47"/>
        <v>Hispanic or Latino</v>
      </c>
    </row>
    <row r="219" spans="1:34" x14ac:dyDescent="0.25">
      <c r="A219" t="s">
        <v>719</v>
      </c>
      <c r="B219" t="s">
        <v>30</v>
      </c>
      <c r="C219" t="s">
        <v>720</v>
      </c>
      <c r="D219" t="s">
        <v>658</v>
      </c>
      <c r="E219" t="s">
        <v>34</v>
      </c>
      <c r="F219" t="str">
        <f t="shared" si="37"/>
        <v>Data Analyst</v>
      </c>
      <c r="G219" t="str">
        <f t="shared" si="38"/>
        <v>Data Analyst</v>
      </c>
      <c r="H219" t="s">
        <v>35</v>
      </c>
      <c r="I219" t="s">
        <v>67</v>
      </c>
      <c r="J219" t="s">
        <v>112</v>
      </c>
      <c r="K219" t="str">
        <f t="shared" si="39"/>
        <v>Education</v>
      </c>
      <c r="L219" t="str">
        <f t="shared" si="40"/>
        <v>Education</v>
      </c>
      <c r="M219" t="s">
        <v>721</v>
      </c>
      <c r="N219" t="str">
        <f t="shared" si="41"/>
        <v>SQL</v>
      </c>
      <c r="O219" t="str">
        <f t="shared" si="42"/>
        <v>SQL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tr">
        <f t="shared" si="43"/>
        <v>Better Salary</v>
      </c>
      <c r="Y219" t="str">
        <f t="shared" si="44"/>
        <v>Better Salary</v>
      </c>
      <c r="Z219" t="s">
        <v>41</v>
      </c>
      <c r="AA219">
        <v>27</v>
      </c>
      <c r="AB219" t="s">
        <v>42</v>
      </c>
      <c r="AC219" t="str">
        <f t="shared" si="45"/>
        <v>United States</v>
      </c>
      <c r="AD219" t="str">
        <f t="shared" si="46"/>
        <v>United States</v>
      </c>
      <c r="AE219" t="s">
        <v>244</v>
      </c>
      <c r="AF219" t="s">
        <v>62</v>
      </c>
      <c r="AG219" t="str">
        <f t="shared" si="36"/>
        <v>Black or African American</v>
      </c>
      <c r="AH219" t="str">
        <f t="shared" si="47"/>
        <v>Black or African American</v>
      </c>
    </row>
    <row r="220" spans="1:34" x14ac:dyDescent="0.25">
      <c r="A220" t="s">
        <v>722</v>
      </c>
      <c r="B220" t="s">
        <v>30</v>
      </c>
      <c r="C220" t="s">
        <v>723</v>
      </c>
      <c r="D220" t="s">
        <v>116</v>
      </c>
      <c r="E220" t="s">
        <v>34</v>
      </c>
      <c r="F220" t="str">
        <f t="shared" si="37"/>
        <v>Data Analyst</v>
      </c>
      <c r="G220" t="str">
        <f t="shared" si="38"/>
        <v>Data Analyst</v>
      </c>
      <c r="H220" t="s">
        <v>35</v>
      </c>
      <c r="I220" t="s">
        <v>98</v>
      </c>
      <c r="J220" t="s">
        <v>724</v>
      </c>
      <c r="K220" t="str">
        <f t="shared" si="39"/>
        <v>Chemical Manufacturing</v>
      </c>
      <c r="L220" t="str">
        <f t="shared" si="40"/>
        <v>Others</v>
      </c>
      <c r="M220" t="s">
        <v>38</v>
      </c>
      <c r="N220" t="str">
        <f t="shared" si="41"/>
        <v>Python</v>
      </c>
      <c r="O220" t="str">
        <f t="shared" si="42"/>
        <v>Python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tr">
        <f t="shared" si="43"/>
        <v>Remote Work</v>
      </c>
      <c r="Y220" t="str">
        <f t="shared" si="44"/>
        <v>Remote Work</v>
      </c>
      <c r="Z220" t="s">
        <v>41</v>
      </c>
      <c r="AA220">
        <v>32</v>
      </c>
      <c r="AB220" t="s">
        <v>42</v>
      </c>
      <c r="AC220" t="str">
        <f t="shared" si="45"/>
        <v>United States</v>
      </c>
      <c r="AD220" t="str">
        <f t="shared" si="46"/>
        <v>United States</v>
      </c>
      <c r="AE220" t="s">
        <v>241</v>
      </c>
      <c r="AF220" t="s">
        <v>52</v>
      </c>
      <c r="AG220" t="str">
        <f t="shared" si="36"/>
        <v>Asian or Asian American</v>
      </c>
      <c r="AH220" t="str">
        <f t="shared" si="47"/>
        <v>Asian or Asian American</v>
      </c>
    </row>
    <row r="221" spans="1:34" x14ac:dyDescent="0.25">
      <c r="A221" t="s">
        <v>725</v>
      </c>
      <c r="B221" t="s">
        <v>30</v>
      </c>
      <c r="C221" t="s">
        <v>726</v>
      </c>
      <c r="D221" t="s">
        <v>410</v>
      </c>
      <c r="E221" t="s">
        <v>34</v>
      </c>
      <c r="F221" t="str">
        <f t="shared" si="37"/>
        <v>Data Analyst</v>
      </c>
      <c r="G221" t="str">
        <f t="shared" si="38"/>
        <v>Data Analyst</v>
      </c>
      <c r="H221" t="s">
        <v>35</v>
      </c>
      <c r="I221" t="s">
        <v>48</v>
      </c>
      <c r="J221" t="s">
        <v>107</v>
      </c>
      <c r="K221" t="str">
        <f t="shared" si="39"/>
        <v>Tech</v>
      </c>
      <c r="L221" t="str">
        <f t="shared" si="40"/>
        <v>Tech</v>
      </c>
      <c r="M221" t="s">
        <v>38</v>
      </c>
      <c r="N221" t="str">
        <f t="shared" si="41"/>
        <v>Python</v>
      </c>
      <c r="O221" t="str">
        <f t="shared" si="42"/>
        <v>Python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tr">
        <f t="shared" si="43"/>
        <v>Good Work/Life Balance</v>
      </c>
      <c r="Y221" t="str">
        <f t="shared" si="44"/>
        <v>Good Work/Life Balance</v>
      </c>
      <c r="Z221" t="s">
        <v>41</v>
      </c>
      <c r="AA221">
        <v>50</v>
      </c>
      <c r="AB221" t="s">
        <v>51</v>
      </c>
      <c r="AC221" t="str">
        <f t="shared" si="45"/>
        <v>Canada</v>
      </c>
      <c r="AD221" t="str">
        <f t="shared" si="46"/>
        <v>Canada</v>
      </c>
      <c r="AE221" t="s">
        <v>241</v>
      </c>
      <c r="AF221" t="s">
        <v>43</v>
      </c>
      <c r="AG221" t="str">
        <f t="shared" si="36"/>
        <v>White or Caucasian</v>
      </c>
      <c r="AH221" t="str">
        <f t="shared" si="47"/>
        <v>White or Caucasian</v>
      </c>
    </row>
    <row r="222" spans="1:34" x14ac:dyDescent="0.25">
      <c r="A222" t="s">
        <v>727</v>
      </c>
      <c r="B222" t="s">
        <v>30</v>
      </c>
      <c r="C222" t="s">
        <v>726</v>
      </c>
      <c r="D222" t="s">
        <v>85</v>
      </c>
      <c r="E222" t="s">
        <v>728</v>
      </c>
      <c r="F222" t="str">
        <f t="shared" si="37"/>
        <v>Data Architect</v>
      </c>
      <c r="G222" t="str">
        <f t="shared" si="38"/>
        <v>Others</v>
      </c>
      <c r="H222" t="s">
        <v>35</v>
      </c>
      <c r="I222" t="s">
        <v>98</v>
      </c>
      <c r="J222" t="s">
        <v>729</v>
      </c>
      <c r="K222" t="str">
        <f t="shared" si="39"/>
        <v>Poultry</v>
      </c>
      <c r="L222" t="str">
        <f t="shared" si="40"/>
        <v>Others</v>
      </c>
      <c r="M222" t="s">
        <v>38</v>
      </c>
      <c r="N222" t="str">
        <f t="shared" si="41"/>
        <v>Python</v>
      </c>
      <c r="O222" t="str">
        <f t="shared" si="42"/>
        <v>Python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tr">
        <f t="shared" si="43"/>
        <v>Remote Work</v>
      </c>
      <c r="Y222" t="str">
        <f t="shared" si="44"/>
        <v>Remote Work</v>
      </c>
      <c r="Z222" t="s">
        <v>41</v>
      </c>
      <c r="AA222">
        <v>29</v>
      </c>
      <c r="AB222" t="s">
        <v>42</v>
      </c>
      <c r="AC222" t="str">
        <f t="shared" si="45"/>
        <v>United States</v>
      </c>
      <c r="AD222" t="str">
        <f t="shared" si="46"/>
        <v>United States</v>
      </c>
      <c r="AE222" t="s">
        <v>231</v>
      </c>
      <c r="AF222" t="s">
        <v>43</v>
      </c>
      <c r="AG222" t="str">
        <f t="shared" si="36"/>
        <v>White or Caucasian</v>
      </c>
      <c r="AH222" t="str">
        <f t="shared" si="47"/>
        <v>White or Caucasian</v>
      </c>
    </row>
    <row r="223" spans="1:34" x14ac:dyDescent="0.25">
      <c r="A223" t="s">
        <v>730</v>
      </c>
      <c r="B223" t="s">
        <v>30</v>
      </c>
      <c r="C223" t="s">
        <v>731</v>
      </c>
      <c r="D223" t="s">
        <v>180</v>
      </c>
      <c r="E223" t="s">
        <v>34</v>
      </c>
      <c r="F223" t="str">
        <f t="shared" si="37"/>
        <v>Data Analyst</v>
      </c>
      <c r="G223" t="str">
        <f t="shared" si="38"/>
        <v>Data Analyst</v>
      </c>
      <c r="H223" t="s">
        <v>35</v>
      </c>
      <c r="I223" t="s">
        <v>57</v>
      </c>
      <c r="J223" t="s">
        <v>94</v>
      </c>
      <c r="K223" t="str">
        <f t="shared" si="39"/>
        <v>Telecommunication</v>
      </c>
      <c r="L223" t="str">
        <f t="shared" si="40"/>
        <v>Telecommunication</v>
      </c>
      <c r="M223" t="s">
        <v>50</v>
      </c>
      <c r="N223" t="str">
        <f t="shared" si="41"/>
        <v>R</v>
      </c>
      <c r="O223" t="str">
        <f t="shared" si="42"/>
        <v>R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tr">
        <f t="shared" si="43"/>
        <v>Good Work/Life Balance</v>
      </c>
      <c r="Y223" t="str">
        <f t="shared" si="44"/>
        <v>Good Work/Life Balance</v>
      </c>
      <c r="Z223" t="s">
        <v>41</v>
      </c>
      <c r="AA223">
        <v>41</v>
      </c>
      <c r="AB223" t="s">
        <v>732</v>
      </c>
      <c r="AC223" t="str">
        <f t="shared" si="45"/>
        <v>Peru</v>
      </c>
      <c r="AD223" t="str">
        <f t="shared" si="46"/>
        <v>Others</v>
      </c>
      <c r="AE223" t="s">
        <v>241</v>
      </c>
      <c r="AF223" t="s">
        <v>95</v>
      </c>
      <c r="AG223" t="str">
        <f t="shared" si="36"/>
        <v>Hispanic or Latino</v>
      </c>
      <c r="AH223" t="str">
        <f t="shared" si="47"/>
        <v>Hispanic or Latino</v>
      </c>
    </row>
    <row r="224" spans="1:34" x14ac:dyDescent="0.25">
      <c r="A224" t="s">
        <v>733</v>
      </c>
      <c r="B224" t="s">
        <v>30</v>
      </c>
      <c r="C224" t="s">
        <v>734</v>
      </c>
      <c r="D224" t="s">
        <v>735</v>
      </c>
      <c r="E224" t="s">
        <v>736</v>
      </c>
      <c r="F224" t="str">
        <f t="shared" si="37"/>
        <v>Data Integrity</v>
      </c>
      <c r="G224" t="str">
        <f t="shared" si="38"/>
        <v>Others</v>
      </c>
      <c r="H224" t="s">
        <v>47</v>
      </c>
      <c r="I224" t="s">
        <v>57</v>
      </c>
      <c r="J224" t="s">
        <v>737</v>
      </c>
      <c r="K224" t="str">
        <f t="shared" si="39"/>
        <v>Renewable Resources</v>
      </c>
      <c r="L224" t="str">
        <f t="shared" si="40"/>
        <v>Others</v>
      </c>
      <c r="M224" t="s">
        <v>50</v>
      </c>
      <c r="N224" t="str">
        <f t="shared" si="41"/>
        <v>R</v>
      </c>
      <c r="O224" t="str">
        <f t="shared" si="42"/>
        <v>R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tr">
        <f t="shared" si="43"/>
        <v>Better Salary</v>
      </c>
      <c r="Y224" t="str">
        <f t="shared" si="44"/>
        <v>Better Salary</v>
      </c>
      <c r="Z224" t="s">
        <v>41</v>
      </c>
      <c r="AA224">
        <v>23</v>
      </c>
      <c r="AB224" t="s">
        <v>42</v>
      </c>
      <c r="AC224" t="str">
        <f t="shared" si="45"/>
        <v>United States</v>
      </c>
      <c r="AD224" t="str">
        <f t="shared" si="46"/>
        <v>United States</v>
      </c>
      <c r="AE224" t="s">
        <v>266</v>
      </c>
      <c r="AF224" t="s">
        <v>43</v>
      </c>
      <c r="AG224" t="str">
        <f t="shared" si="36"/>
        <v>White or Caucasian</v>
      </c>
      <c r="AH224" t="str">
        <f t="shared" si="47"/>
        <v>White or Caucasian</v>
      </c>
    </row>
    <row r="225" spans="1:34" x14ac:dyDescent="0.25">
      <c r="A225" t="s">
        <v>738</v>
      </c>
      <c r="B225" t="s">
        <v>30</v>
      </c>
      <c r="C225" t="s">
        <v>739</v>
      </c>
      <c r="D225" t="s">
        <v>740</v>
      </c>
      <c r="E225" t="s">
        <v>34</v>
      </c>
      <c r="F225" t="str">
        <f t="shared" si="37"/>
        <v>Data Analyst</v>
      </c>
      <c r="G225" t="str">
        <f t="shared" si="38"/>
        <v>Data Analyst</v>
      </c>
      <c r="H225" t="s">
        <v>35</v>
      </c>
      <c r="I225" t="s">
        <v>57</v>
      </c>
      <c r="J225" t="s">
        <v>49</v>
      </c>
      <c r="K225" t="str">
        <f t="shared" si="39"/>
        <v>Finance</v>
      </c>
      <c r="L225" t="str">
        <f t="shared" si="40"/>
        <v>Finance</v>
      </c>
      <c r="M225" t="s">
        <v>38</v>
      </c>
      <c r="N225" t="str">
        <f t="shared" si="41"/>
        <v>Python</v>
      </c>
      <c r="O225" t="str">
        <f t="shared" si="42"/>
        <v>Python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tr">
        <f t="shared" si="43"/>
        <v>Better Salary</v>
      </c>
      <c r="Y225" t="str">
        <f t="shared" si="44"/>
        <v>Better Salary</v>
      </c>
      <c r="Z225" t="s">
        <v>41</v>
      </c>
      <c r="AA225">
        <v>31</v>
      </c>
      <c r="AB225" t="s">
        <v>61</v>
      </c>
      <c r="AC225" t="str">
        <f t="shared" si="45"/>
        <v>Nigeria</v>
      </c>
      <c r="AD225" t="str">
        <f t="shared" si="46"/>
        <v>Nigeria</v>
      </c>
      <c r="AE225" t="s">
        <v>241</v>
      </c>
      <c r="AF225" t="s">
        <v>62</v>
      </c>
      <c r="AG225" t="str">
        <f t="shared" si="36"/>
        <v>Black or African American</v>
      </c>
      <c r="AH225" t="str">
        <f t="shared" si="47"/>
        <v>Black or African American</v>
      </c>
    </row>
    <row r="226" spans="1:34" x14ac:dyDescent="0.25">
      <c r="A226" t="s">
        <v>741</v>
      </c>
      <c r="B226" t="s">
        <v>30</v>
      </c>
      <c r="C226" t="s">
        <v>742</v>
      </c>
      <c r="D226" t="s">
        <v>93</v>
      </c>
      <c r="E226" t="s">
        <v>34</v>
      </c>
      <c r="F226" t="str">
        <f t="shared" si="37"/>
        <v>Data Analyst</v>
      </c>
      <c r="G226" t="str">
        <f t="shared" si="38"/>
        <v>Data Analyst</v>
      </c>
      <c r="H226" t="s">
        <v>47</v>
      </c>
      <c r="I226" t="s">
        <v>57</v>
      </c>
      <c r="J226" t="s">
        <v>37</v>
      </c>
      <c r="K226" t="str">
        <f t="shared" si="39"/>
        <v>Healthcare</v>
      </c>
      <c r="L226" t="str">
        <f t="shared" si="40"/>
        <v>Healthcare</v>
      </c>
      <c r="M226" t="s">
        <v>38</v>
      </c>
      <c r="N226" t="str">
        <f t="shared" si="41"/>
        <v>Python</v>
      </c>
      <c r="O226" t="str">
        <f t="shared" si="42"/>
        <v>Python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tr">
        <f t="shared" si="43"/>
        <v>Better Salary</v>
      </c>
      <c r="Y226" t="str">
        <f t="shared" si="44"/>
        <v>Better Salary</v>
      </c>
      <c r="Z226" t="s">
        <v>41</v>
      </c>
      <c r="AA226">
        <v>22</v>
      </c>
      <c r="AB226" t="s">
        <v>743</v>
      </c>
      <c r="AC226" t="str">
        <f t="shared" si="45"/>
        <v>Philippines</v>
      </c>
      <c r="AD226" t="str">
        <f t="shared" si="46"/>
        <v>Others</v>
      </c>
      <c r="AE226" t="s">
        <v>241</v>
      </c>
      <c r="AF226" t="s">
        <v>744</v>
      </c>
      <c r="AG226" t="s">
        <v>744</v>
      </c>
      <c r="AH226" t="str">
        <f t="shared" si="47"/>
        <v>Others</v>
      </c>
    </row>
    <row r="227" spans="1:34" x14ac:dyDescent="0.25">
      <c r="A227" t="s">
        <v>745</v>
      </c>
      <c r="B227" t="s">
        <v>30</v>
      </c>
      <c r="C227" t="s">
        <v>742</v>
      </c>
      <c r="D227" t="s">
        <v>72</v>
      </c>
      <c r="E227" t="s">
        <v>34</v>
      </c>
      <c r="F227" t="str">
        <f t="shared" si="37"/>
        <v>Data Analyst</v>
      </c>
      <c r="G227" t="str">
        <f t="shared" si="38"/>
        <v>Data Analyst</v>
      </c>
      <c r="H227" t="s">
        <v>47</v>
      </c>
      <c r="I227" t="s">
        <v>98</v>
      </c>
      <c r="J227" t="s">
        <v>49</v>
      </c>
      <c r="K227" t="str">
        <f t="shared" si="39"/>
        <v>Finance</v>
      </c>
      <c r="L227" t="str">
        <f t="shared" si="40"/>
        <v>Finance</v>
      </c>
      <c r="M227" t="s">
        <v>38</v>
      </c>
      <c r="N227" t="str">
        <f t="shared" si="41"/>
        <v>Python</v>
      </c>
      <c r="O227" t="str">
        <f t="shared" si="42"/>
        <v>Python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tr">
        <f t="shared" si="43"/>
        <v>Better Salary</v>
      </c>
      <c r="Y227" t="str">
        <f t="shared" si="44"/>
        <v>Better Salary</v>
      </c>
      <c r="Z227" t="s">
        <v>41</v>
      </c>
      <c r="AA227">
        <v>29</v>
      </c>
      <c r="AB227" t="s">
        <v>42</v>
      </c>
      <c r="AC227" t="str">
        <f t="shared" si="45"/>
        <v>United States</v>
      </c>
      <c r="AD227" t="str">
        <f t="shared" si="46"/>
        <v>United States</v>
      </c>
      <c r="AE227" t="s">
        <v>244</v>
      </c>
      <c r="AF227" t="s">
        <v>95</v>
      </c>
      <c r="AG227" t="str">
        <f t="shared" si="36"/>
        <v>Hispanic or Latino</v>
      </c>
      <c r="AH227" t="str">
        <f t="shared" si="47"/>
        <v>Hispanic or Latino</v>
      </c>
    </row>
    <row r="228" spans="1:34" x14ac:dyDescent="0.25">
      <c r="A228" t="s">
        <v>746</v>
      </c>
      <c r="B228" t="s">
        <v>30</v>
      </c>
      <c r="C228" t="s">
        <v>747</v>
      </c>
      <c r="D228" t="s">
        <v>269</v>
      </c>
      <c r="E228" t="s">
        <v>81</v>
      </c>
      <c r="F228" t="str">
        <f t="shared" si="37"/>
        <v>Data Scientist</v>
      </c>
      <c r="G228" t="str">
        <f t="shared" si="38"/>
        <v>Data Scientist</v>
      </c>
      <c r="H228" t="s">
        <v>35</v>
      </c>
      <c r="I228" t="s">
        <v>57</v>
      </c>
      <c r="J228" t="s">
        <v>107</v>
      </c>
      <c r="K228" t="str">
        <f t="shared" si="39"/>
        <v>Tech</v>
      </c>
      <c r="L228" t="str">
        <f t="shared" si="40"/>
        <v>Tech</v>
      </c>
      <c r="M228" t="s">
        <v>38</v>
      </c>
      <c r="N228" t="str">
        <f t="shared" si="41"/>
        <v>Python</v>
      </c>
      <c r="O228" t="str">
        <f t="shared" si="42"/>
        <v>Python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tr">
        <f t="shared" si="43"/>
        <v>Good Culture</v>
      </c>
      <c r="Y228" t="str">
        <f t="shared" si="44"/>
        <v>Good Culture</v>
      </c>
      <c r="Z228" t="s">
        <v>41</v>
      </c>
      <c r="AA228">
        <v>23</v>
      </c>
      <c r="AB228" t="s">
        <v>748</v>
      </c>
      <c r="AC228" t="str">
        <f t="shared" si="45"/>
        <v>Malaysia</v>
      </c>
      <c r="AD228" t="str">
        <f t="shared" si="46"/>
        <v>Others</v>
      </c>
      <c r="AE228" t="s">
        <v>241</v>
      </c>
      <c r="AF228" t="s">
        <v>204</v>
      </c>
      <c r="AG228" t="str">
        <f t="shared" si="36"/>
        <v>Indian</v>
      </c>
      <c r="AH228" t="str">
        <f t="shared" si="47"/>
        <v>Indian</v>
      </c>
    </row>
    <row r="229" spans="1:34" x14ac:dyDescent="0.25">
      <c r="A229" t="s">
        <v>749</v>
      </c>
      <c r="B229" t="s">
        <v>30</v>
      </c>
      <c r="C229" t="s">
        <v>750</v>
      </c>
      <c r="D229" t="s">
        <v>85</v>
      </c>
      <c r="E229" t="s">
        <v>127</v>
      </c>
      <c r="F229" t="str">
        <f t="shared" si="37"/>
        <v>Student/Looking/None</v>
      </c>
      <c r="G229" t="str">
        <f t="shared" si="38"/>
        <v>Student/Looking/None</v>
      </c>
      <c r="H229" t="s">
        <v>47</v>
      </c>
      <c r="I229" t="s">
        <v>57</v>
      </c>
      <c r="J229" t="s">
        <v>751</v>
      </c>
      <c r="K229" t="str">
        <f t="shared" si="39"/>
        <v>Customer service</v>
      </c>
      <c r="L229" t="str">
        <f t="shared" si="40"/>
        <v>Others</v>
      </c>
      <c r="M229" t="s">
        <v>752</v>
      </c>
      <c r="N229" t="str">
        <f t="shared" si="41"/>
        <v>Just started learning</v>
      </c>
      <c r="O229" t="str">
        <f t="shared" si="42"/>
        <v>Others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tr">
        <f t="shared" si="43"/>
        <v>Remote Work</v>
      </c>
      <c r="Y229" t="str">
        <f t="shared" si="44"/>
        <v>Remote Work</v>
      </c>
      <c r="Z229" t="s">
        <v>69</v>
      </c>
      <c r="AA229">
        <v>24</v>
      </c>
      <c r="AB229" t="s">
        <v>42</v>
      </c>
      <c r="AC229" t="str">
        <f t="shared" si="45"/>
        <v>United States</v>
      </c>
      <c r="AD229" t="str">
        <f t="shared" si="46"/>
        <v>United States</v>
      </c>
      <c r="AE229" t="s">
        <v>231</v>
      </c>
      <c r="AF229" t="s">
        <v>95</v>
      </c>
      <c r="AG229" t="str">
        <f t="shared" si="36"/>
        <v>Hispanic or Latino</v>
      </c>
      <c r="AH229" t="str">
        <f t="shared" si="47"/>
        <v>Hispanic or Latino</v>
      </c>
    </row>
    <row r="230" spans="1:34" x14ac:dyDescent="0.25">
      <c r="A230" t="s">
        <v>753</v>
      </c>
      <c r="B230" t="s">
        <v>30</v>
      </c>
      <c r="C230" t="s">
        <v>754</v>
      </c>
      <c r="D230" t="s">
        <v>755</v>
      </c>
      <c r="E230" t="s">
        <v>34</v>
      </c>
      <c r="F230" t="str">
        <f t="shared" si="37"/>
        <v>Data Analyst</v>
      </c>
      <c r="G230" t="str">
        <f t="shared" si="38"/>
        <v>Data Analyst</v>
      </c>
      <c r="H230" t="s">
        <v>35</v>
      </c>
      <c r="I230" t="s">
        <v>98</v>
      </c>
      <c r="J230" t="s">
        <v>756</v>
      </c>
      <c r="K230" t="str">
        <f t="shared" si="39"/>
        <v>Manufacturering</v>
      </c>
      <c r="L230" t="str">
        <f t="shared" si="40"/>
        <v>Others</v>
      </c>
      <c r="M230" t="s">
        <v>38</v>
      </c>
      <c r="N230" t="str">
        <f t="shared" si="41"/>
        <v>Python</v>
      </c>
      <c r="O230" t="str">
        <f t="shared" si="42"/>
        <v>Python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tr">
        <f t="shared" si="43"/>
        <v>Better Salary</v>
      </c>
      <c r="Y230" t="str">
        <f t="shared" si="44"/>
        <v>Better Salary</v>
      </c>
      <c r="Z230" t="s">
        <v>41</v>
      </c>
      <c r="AA230">
        <v>26</v>
      </c>
      <c r="AB230" t="s">
        <v>42</v>
      </c>
      <c r="AC230" t="str">
        <f t="shared" si="45"/>
        <v>United States</v>
      </c>
      <c r="AD230" t="str">
        <f t="shared" si="46"/>
        <v>United States</v>
      </c>
      <c r="AE230" t="s">
        <v>241</v>
      </c>
      <c r="AF230" t="s">
        <v>62</v>
      </c>
      <c r="AG230" t="str">
        <f t="shared" si="36"/>
        <v>Black or African American</v>
      </c>
      <c r="AH230" t="str">
        <f t="shared" si="47"/>
        <v>Black or African American</v>
      </c>
    </row>
    <row r="231" spans="1:34" x14ac:dyDescent="0.25">
      <c r="A231" t="s">
        <v>757</v>
      </c>
      <c r="B231" t="s">
        <v>30</v>
      </c>
      <c r="C231" t="s">
        <v>758</v>
      </c>
      <c r="D231" t="s">
        <v>46</v>
      </c>
      <c r="E231" t="s">
        <v>127</v>
      </c>
      <c r="F231" t="str">
        <f t="shared" si="37"/>
        <v>Student/Looking/None</v>
      </c>
      <c r="G231" t="str">
        <f t="shared" si="38"/>
        <v>Student/Looking/None</v>
      </c>
      <c r="H231" t="s">
        <v>35</v>
      </c>
      <c r="I231" t="s">
        <v>57</v>
      </c>
      <c r="J231" t="s">
        <v>49</v>
      </c>
      <c r="K231" t="str">
        <f t="shared" si="39"/>
        <v>Finance</v>
      </c>
      <c r="L231" t="str">
        <f t="shared" si="40"/>
        <v>Finance</v>
      </c>
      <c r="M231" t="s">
        <v>38</v>
      </c>
      <c r="N231" t="str">
        <f t="shared" si="41"/>
        <v>Python</v>
      </c>
      <c r="O231" t="str">
        <f t="shared" si="42"/>
        <v>Python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tr">
        <f t="shared" si="43"/>
        <v>Good Culture</v>
      </c>
      <c r="Y231" t="str">
        <f t="shared" si="44"/>
        <v>Good Culture</v>
      </c>
      <c r="Z231" t="s">
        <v>41</v>
      </c>
      <c r="AA231">
        <v>31</v>
      </c>
      <c r="AB231" t="s">
        <v>151</v>
      </c>
      <c r="AC231" t="str">
        <f t="shared" si="45"/>
        <v>India</v>
      </c>
      <c r="AD231" t="str">
        <f t="shared" si="46"/>
        <v>India</v>
      </c>
      <c r="AE231" t="s">
        <v>241</v>
      </c>
      <c r="AF231" t="s">
        <v>52</v>
      </c>
      <c r="AG231" t="str">
        <f t="shared" si="36"/>
        <v>Asian or Asian American</v>
      </c>
      <c r="AH231" t="str">
        <f t="shared" si="47"/>
        <v>Asian or Asian American</v>
      </c>
    </row>
    <row r="232" spans="1:34" x14ac:dyDescent="0.25">
      <c r="A232" t="s">
        <v>759</v>
      </c>
      <c r="B232" t="s">
        <v>30</v>
      </c>
      <c r="C232" t="s">
        <v>760</v>
      </c>
      <c r="D232" t="s">
        <v>619</v>
      </c>
      <c r="E232" t="s">
        <v>34</v>
      </c>
      <c r="F232" t="str">
        <f t="shared" si="37"/>
        <v>Data Analyst</v>
      </c>
      <c r="G232" t="str">
        <f t="shared" si="38"/>
        <v>Data Analyst</v>
      </c>
      <c r="H232" t="s">
        <v>35</v>
      </c>
      <c r="I232" t="s">
        <v>57</v>
      </c>
      <c r="J232" t="s">
        <v>761</v>
      </c>
      <c r="K232" t="str">
        <f t="shared" si="39"/>
        <v>sports</v>
      </c>
      <c r="L232" t="str">
        <f t="shared" si="40"/>
        <v>Others</v>
      </c>
      <c r="M232" t="s">
        <v>38</v>
      </c>
      <c r="N232" t="str">
        <f t="shared" si="41"/>
        <v>Python</v>
      </c>
      <c r="O232" t="str">
        <f t="shared" si="42"/>
        <v>Python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tr">
        <f t="shared" si="43"/>
        <v>Remote Work</v>
      </c>
      <c r="Y232" t="str">
        <f t="shared" si="44"/>
        <v>Remote Work</v>
      </c>
      <c r="Z232" t="s">
        <v>41</v>
      </c>
      <c r="AA232">
        <v>22</v>
      </c>
      <c r="AB232" t="s">
        <v>762</v>
      </c>
      <c r="AC232" t="str">
        <f t="shared" si="45"/>
        <v>nigeria</v>
      </c>
      <c r="AD232" t="str">
        <f t="shared" si="46"/>
        <v>nigeria</v>
      </c>
      <c r="AE232" t="s">
        <v>241</v>
      </c>
      <c r="AF232" t="s">
        <v>62</v>
      </c>
      <c r="AG232" t="str">
        <f t="shared" si="36"/>
        <v>Black or African American</v>
      </c>
      <c r="AH232" t="str">
        <f t="shared" si="47"/>
        <v>Black or African American</v>
      </c>
    </row>
    <row r="233" spans="1:34" x14ac:dyDescent="0.25">
      <c r="A233" t="s">
        <v>763</v>
      </c>
      <c r="B233" t="s">
        <v>30</v>
      </c>
      <c r="C233" t="s">
        <v>764</v>
      </c>
      <c r="D233" t="s">
        <v>210</v>
      </c>
      <c r="E233" t="s">
        <v>34</v>
      </c>
      <c r="F233" t="str">
        <f t="shared" si="37"/>
        <v>Data Analyst</v>
      </c>
      <c r="G233" t="str">
        <f t="shared" si="38"/>
        <v>Data Analyst</v>
      </c>
      <c r="H233" t="s">
        <v>35</v>
      </c>
      <c r="I233" t="s">
        <v>98</v>
      </c>
      <c r="J233" t="s">
        <v>765</v>
      </c>
      <c r="K233" t="str">
        <f t="shared" si="39"/>
        <v>fashion/online store</v>
      </c>
      <c r="L233" t="str">
        <f t="shared" si="40"/>
        <v>Others</v>
      </c>
      <c r="M233" t="s">
        <v>38</v>
      </c>
      <c r="N233" t="str">
        <f t="shared" si="41"/>
        <v>Python</v>
      </c>
      <c r="O233" t="str">
        <f t="shared" si="42"/>
        <v>Python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tr">
        <f t="shared" si="43"/>
        <v>Remote Work</v>
      </c>
      <c r="Y233" t="str">
        <f t="shared" si="44"/>
        <v>Remote Work</v>
      </c>
      <c r="Z233" t="s">
        <v>41</v>
      </c>
      <c r="AA233">
        <v>31</v>
      </c>
      <c r="AB233" t="s">
        <v>271</v>
      </c>
      <c r="AC233" t="str">
        <f t="shared" si="45"/>
        <v>Germany</v>
      </c>
      <c r="AD233" t="str">
        <f t="shared" si="46"/>
        <v>Germany</v>
      </c>
      <c r="AE233" t="s">
        <v>241</v>
      </c>
      <c r="AF233" t="s">
        <v>43</v>
      </c>
      <c r="AG233" t="str">
        <f t="shared" si="36"/>
        <v>White or Caucasian</v>
      </c>
      <c r="AH233" t="str">
        <f t="shared" si="47"/>
        <v>White or Caucasian</v>
      </c>
    </row>
    <row r="234" spans="1:34" x14ac:dyDescent="0.25">
      <c r="A234" t="s">
        <v>766</v>
      </c>
      <c r="B234" t="s">
        <v>30</v>
      </c>
      <c r="C234" t="s">
        <v>767</v>
      </c>
      <c r="D234" t="s">
        <v>132</v>
      </c>
      <c r="E234" t="s">
        <v>127</v>
      </c>
      <c r="F234" t="str">
        <f t="shared" si="37"/>
        <v>Student/Looking/None</v>
      </c>
      <c r="G234" t="str">
        <f t="shared" si="38"/>
        <v>Student/Looking/None</v>
      </c>
      <c r="H234" t="s">
        <v>35</v>
      </c>
      <c r="I234" t="s">
        <v>57</v>
      </c>
      <c r="J234" t="s">
        <v>107</v>
      </c>
      <c r="K234" t="str">
        <f t="shared" si="39"/>
        <v>Tech</v>
      </c>
      <c r="L234" t="str">
        <f t="shared" si="40"/>
        <v>Tech</v>
      </c>
      <c r="M234" t="s">
        <v>38</v>
      </c>
      <c r="N234" t="str">
        <f t="shared" si="41"/>
        <v>Python</v>
      </c>
      <c r="O234" t="str">
        <f t="shared" si="42"/>
        <v>Python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tr">
        <f t="shared" si="43"/>
        <v>Better Salary</v>
      </c>
      <c r="Y234" t="str">
        <f t="shared" si="44"/>
        <v>Better Salary</v>
      </c>
      <c r="Z234" t="s">
        <v>41</v>
      </c>
      <c r="AA234">
        <v>27</v>
      </c>
      <c r="AB234" t="s">
        <v>42</v>
      </c>
      <c r="AC234" t="str">
        <f t="shared" si="45"/>
        <v>United States</v>
      </c>
      <c r="AD234" t="str">
        <f t="shared" si="46"/>
        <v>United States</v>
      </c>
      <c r="AE234" t="s">
        <v>244</v>
      </c>
      <c r="AF234" t="s">
        <v>52</v>
      </c>
      <c r="AG234" t="str">
        <f t="shared" si="36"/>
        <v>Asian or Asian American</v>
      </c>
      <c r="AH234" t="str">
        <f t="shared" si="47"/>
        <v>Asian or Asian American</v>
      </c>
    </row>
    <row r="235" spans="1:34" x14ac:dyDescent="0.25">
      <c r="A235" t="s">
        <v>768</v>
      </c>
      <c r="B235" t="s">
        <v>30</v>
      </c>
      <c r="C235" t="s">
        <v>769</v>
      </c>
      <c r="D235" t="s">
        <v>321</v>
      </c>
      <c r="E235" t="s">
        <v>127</v>
      </c>
      <c r="F235" t="str">
        <f t="shared" si="37"/>
        <v>Student/Looking/None</v>
      </c>
      <c r="G235" t="str">
        <f t="shared" si="38"/>
        <v>Student/Looking/None</v>
      </c>
      <c r="H235" t="s">
        <v>47</v>
      </c>
      <c r="I235" t="s">
        <v>57</v>
      </c>
      <c r="J235" t="s">
        <v>770</v>
      </c>
      <c r="K235" t="str">
        <f t="shared" si="39"/>
        <v>I am a student</v>
      </c>
      <c r="L235" t="str">
        <f t="shared" si="40"/>
        <v>Others</v>
      </c>
      <c r="M235" t="s">
        <v>38</v>
      </c>
      <c r="N235" t="str">
        <f t="shared" si="41"/>
        <v>Python</v>
      </c>
      <c r="O235" t="str">
        <f t="shared" si="42"/>
        <v>Python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tr">
        <f t="shared" si="43"/>
        <v>Better Salary</v>
      </c>
      <c r="Y235" t="str">
        <f t="shared" si="44"/>
        <v>Better Salary</v>
      </c>
      <c r="Z235" t="s">
        <v>69</v>
      </c>
      <c r="AA235">
        <v>25</v>
      </c>
      <c r="AB235" t="s">
        <v>42</v>
      </c>
      <c r="AC235" t="str">
        <f t="shared" si="45"/>
        <v>United States</v>
      </c>
      <c r="AD235" t="str">
        <f t="shared" si="46"/>
        <v>United States</v>
      </c>
      <c r="AE235" t="s">
        <v>241</v>
      </c>
      <c r="AF235" t="s">
        <v>52</v>
      </c>
      <c r="AG235" t="str">
        <f t="shared" si="36"/>
        <v>Asian or Asian American</v>
      </c>
      <c r="AH235" t="str">
        <f t="shared" si="47"/>
        <v>Asian or Asian American</v>
      </c>
    </row>
    <row r="236" spans="1:34" x14ac:dyDescent="0.25">
      <c r="A236" t="s">
        <v>771</v>
      </c>
      <c r="B236" t="s">
        <v>30</v>
      </c>
      <c r="C236" t="s">
        <v>772</v>
      </c>
      <c r="D236" t="s">
        <v>773</v>
      </c>
      <c r="E236" t="s">
        <v>34</v>
      </c>
      <c r="F236" t="str">
        <f t="shared" si="37"/>
        <v>Data Analyst</v>
      </c>
      <c r="G236" t="str">
        <f t="shared" si="38"/>
        <v>Data Analyst</v>
      </c>
      <c r="H236" t="s">
        <v>35</v>
      </c>
      <c r="I236" t="s">
        <v>57</v>
      </c>
      <c r="J236" t="s">
        <v>37</v>
      </c>
      <c r="K236" t="str">
        <f t="shared" si="39"/>
        <v>Healthcare</v>
      </c>
      <c r="L236" t="str">
        <f t="shared" si="40"/>
        <v>Healthcare</v>
      </c>
      <c r="M236" t="s">
        <v>38</v>
      </c>
      <c r="N236" t="str">
        <f t="shared" si="41"/>
        <v>Python</v>
      </c>
      <c r="O236" t="str">
        <f t="shared" si="42"/>
        <v>Python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tr">
        <f t="shared" si="43"/>
        <v>Good Work/Life Balance</v>
      </c>
      <c r="Y236" t="str">
        <f t="shared" si="44"/>
        <v>Good Work/Life Balance</v>
      </c>
      <c r="Z236" t="s">
        <v>41</v>
      </c>
      <c r="AA236">
        <v>30</v>
      </c>
      <c r="AB236" t="s">
        <v>265</v>
      </c>
      <c r="AC236" t="str">
        <f t="shared" si="45"/>
        <v>Colombia</v>
      </c>
      <c r="AD236" t="str">
        <f t="shared" si="46"/>
        <v>Others</v>
      </c>
      <c r="AE236" t="s">
        <v>244</v>
      </c>
      <c r="AF236" t="s">
        <v>95</v>
      </c>
      <c r="AG236" t="str">
        <f t="shared" si="36"/>
        <v>Hispanic or Latino</v>
      </c>
      <c r="AH236" t="str">
        <f t="shared" si="47"/>
        <v>Hispanic or Latino</v>
      </c>
    </row>
    <row r="237" spans="1:34" x14ac:dyDescent="0.25">
      <c r="A237" t="s">
        <v>774</v>
      </c>
      <c r="B237" t="s">
        <v>30</v>
      </c>
      <c r="C237" t="s">
        <v>775</v>
      </c>
      <c r="D237" t="s">
        <v>254</v>
      </c>
      <c r="E237" t="s">
        <v>34</v>
      </c>
      <c r="F237" t="str">
        <f t="shared" si="37"/>
        <v>Data Analyst</v>
      </c>
      <c r="G237" t="str">
        <f t="shared" si="38"/>
        <v>Data Analyst</v>
      </c>
      <c r="H237" t="s">
        <v>35</v>
      </c>
      <c r="I237" t="s">
        <v>48</v>
      </c>
      <c r="J237" t="s">
        <v>37</v>
      </c>
      <c r="K237" t="str">
        <f t="shared" si="39"/>
        <v>Healthcare</v>
      </c>
      <c r="L237" t="str">
        <f t="shared" si="40"/>
        <v>Healthcare</v>
      </c>
      <c r="M237" t="s">
        <v>50</v>
      </c>
      <c r="N237" t="str">
        <f t="shared" si="41"/>
        <v>R</v>
      </c>
      <c r="O237" t="str">
        <f t="shared" si="42"/>
        <v>R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tr">
        <f t="shared" si="43"/>
        <v>Opportunities for growth</v>
      </c>
      <c r="Y237" t="str">
        <f t="shared" si="44"/>
        <v>Others</v>
      </c>
      <c r="Z237" t="s">
        <v>41</v>
      </c>
      <c r="AA237">
        <v>28</v>
      </c>
      <c r="AB237" t="s">
        <v>42</v>
      </c>
      <c r="AC237" t="str">
        <f t="shared" si="45"/>
        <v>United States</v>
      </c>
      <c r="AD237" t="str">
        <f t="shared" si="46"/>
        <v>United States</v>
      </c>
      <c r="AE237" t="s">
        <v>244</v>
      </c>
      <c r="AF237" t="s">
        <v>95</v>
      </c>
      <c r="AG237" t="str">
        <f t="shared" si="36"/>
        <v>Hispanic or Latino</v>
      </c>
      <c r="AH237" t="str">
        <f t="shared" si="47"/>
        <v>Hispanic or Latino</v>
      </c>
    </row>
    <row r="238" spans="1:34" x14ac:dyDescent="0.25">
      <c r="A238" t="s">
        <v>777</v>
      </c>
      <c r="B238" t="s">
        <v>30</v>
      </c>
      <c r="C238" t="s">
        <v>778</v>
      </c>
      <c r="D238" t="s">
        <v>175</v>
      </c>
      <c r="E238" t="s">
        <v>34</v>
      </c>
      <c r="F238" t="str">
        <f t="shared" si="37"/>
        <v>Data Analyst</v>
      </c>
      <c r="G238" t="str">
        <f t="shared" si="38"/>
        <v>Data Analyst</v>
      </c>
      <c r="H238" t="s">
        <v>47</v>
      </c>
      <c r="I238" t="s">
        <v>86</v>
      </c>
      <c r="J238" t="s">
        <v>49</v>
      </c>
      <c r="K238" t="str">
        <f t="shared" si="39"/>
        <v>Finance</v>
      </c>
      <c r="L238" t="str">
        <f t="shared" si="40"/>
        <v>Finance</v>
      </c>
      <c r="M238" t="s">
        <v>38</v>
      </c>
      <c r="N238" t="str">
        <f t="shared" si="41"/>
        <v>Python</v>
      </c>
      <c r="O238" t="str">
        <f t="shared" si="42"/>
        <v>Python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tr">
        <f t="shared" si="43"/>
        <v>Remote Work</v>
      </c>
      <c r="Y238" t="str">
        <f t="shared" si="44"/>
        <v>Remote Work</v>
      </c>
      <c r="Z238" t="s">
        <v>41</v>
      </c>
      <c r="AA238">
        <v>26</v>
      </c>
      <c r="AB238" t="s">
        <v>42</v>
      </c>
      <c r="AC238" t="str">
        <f t="shared" si="45"/>
        <v>United States</v>
      </c>
      <c r="AD238" t="str">
        <f t="shared" si="46"/>
        <v>United States</v>
      </c>
      <c r="AE238" t="s">
        <v>241</v>
      </c>
      <c r="AF238" t="s">
        <v>43</v>
      </c>
      <c r="AG238" t="str">
        <f t="shared" si="36"/>
        <v>White or Caucasian</v>
      </c>
      <c r="AH238" t="str">
        <f t="shared" si="47"/>
        <v>White or Caucasian</v>
      </c>
    </row>
    <row r="239" spans="1:34" x14ac:dyDescent="0.25">
      <c r="A239" t="s">
        <v>779</v>
      </c>
      <c r="B239" t="s">
        <v>30</v>
      </c>
      <c r="C239" t="s">
        <v>780</v>
      </c>
      <c r="D239" t="s">
        <v>686</v>
      </c>
      <c r="E239" t="s">
        <v>81</v>
      </c>
      <c r="F239" t="str">
        <f t="shared" si="37"/>
        <v>Data Scientist</v>
      </c>
      <c r="G239" t="str">
        <f t="shared" si="38"/>
        <v>Data Scientist</v>
      </c>
      <c r="H239" t="s">
        <v>35</v>
      </c>
      <c r="I239" t="s">
        <v>86</v>
      </c>
      <c r="J239" t="s">
        <v>87</v>
      </c>
      <c r="K239" t="str">
        <f t="shared" si="39"/>
        <v>Retail</v>
      </c>
      <c r="L239" t="str">
        <f t="shared" si="40"/>
        <v>Retail</v>
      </c>
      <c r="M239" t="s">
        <v>38</v>
      </c>
      <c r="N239" t="str">
        <f t="shared" si="41"/>
        <v>Python</v>
      </c>
      <c r="O239" t="str">
        <f t="shared" si="42"/>
        <v>Python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tr">
        <f t="shared" si="43"/>
        <v>Remote Work</v>
      </c>
      <c r="Y239" t="str">
        <f t="shared" si="44"/>
        <v>Remote Work</v>
      </c>
      <c r="Z239" t="s">
        <v>69</v>
      </c>
      <c r="AA239">
        <v>32</v>
      </c>
      <c r="AB239" t="s">
        <v>42</v>
      </c>
      <c r="AC239" t="str">
        <f t="shared" si="45"/>
        <v>United States</v>
      </c>
      <c r="AD239" t="str">
        <f t="shared" si="46"/>
        <v>United States</v>
      </c>
      <c r="AE239" t="s">
        <v>244</v>
      </c>
      <c r="AF239" t="s">
        <v>43</v>
      </c>
      <c r="AG239" t="str">
        <f t="shared" si="36"/>
        <v>White or Caucasian</v>
      </c>
      <c r="AH239" t="str">
        <f t="shared" si="47"/>
        <v>White or Caucasian</v>
      </c>
    </row>
    <row r="240" spans="1:34" x14ac:dyDescent="0.25">
      <c r="A240" t="s">
        <v>781</v>
      </c>
      <c r="B240" t="s">
        <v>30</v>
      </c>
      <c r="C240" t="s">
        <v>782</v>
      </c>
      <c r="D240" t="s">
        <v>308</v>
      </c>
      <c r="E240" t="s">
        <v>34</v>
      </c>
      <c r="F240" t="str">
        <f t="shared" si="37"/>
        <v>Data Analyst</v>
      </c>
      <c r="G240" t="str">
        <f t="shared" si="38"/>
        <v>Data Analyst</v>
      </c>
      <c r="H240" t="s">
        <v>35</v>
      </c>
      <c r="I240" t="s">
        <v>57</v>
      </c>
      <c r="J240" t="s">
        <v>783</v>
      </c>
      <c r="K240" t="str">
        <f t="shared" si="39"/>
        <v>Marketing</v>
      </c>
      <c r="L240" t="str">
        <f t="shared" si="40"/>
        <v>Others</v>
      </c>
      <c r="M240" t="s">
        <v>322</v>
      </c>
      <c r="N240" t="str">
        <f t="shared" si="41"/>
        <v>Sql</v>
      </c>
      <c r="O240" t="str">
        <f t="shared" si="42"/>
        <v>Sql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tr">
        <f t="shared" si="43"/>
        <v>Better Salary</v>
      </c>
      <c r="Y240" t="str">
        <f t="shared" si="44"/>
        <v>Better Salary</v>
      </c>
      <c r="Z240" t="s">
        <v>69</v>
      </c>
      <c r="AA240">
        <v>40</v>
      </c>
      <c r="AB240" t="s">
        <v>504</v>
      </c>
      <c r="AC240" t="str">
        <f t="shared" si="45"/>
        <v>Poland</v>
      </c>
      <c r="AD240" t="str">
        <f t="shared" si="46"/>
        <v>Poland</v>
      </c>
      <c r="AE240" t="s">
        <v>328</v>
      </c>
      <c r="AF240" t="s">
        <v>43</v>
      </c>
      <c r="AG240" t="str">
        <f t="shared" si="36"/>
        <v>White or Caucasian</v>
      </c>
      <c r="AH240" t="str">
        <f t="shared" si="47"/>
        <v>White or Caucasian</v>
      </c>
    </row>
    <row r="241" spans="1:34" x14ac:dyDescent="0.25">
      <c r="A241" t="s">
        <v>784</v>
      </c>
      <c r="B241" t="s">
        <v>30</v>
      </c>
      <c r="C241" t="s">
        <v>785</v>
      </c>
      <c r="D241" t="s">
        <v>197</v>
      </c>
      <c r="E241" t="s">
        <v>56</v>
      </c>
      <c r="F241" t="str">
        <f t="shared" si="37"/>
        <v>Data Engineer</v>
      </c>
      <c r="G241" t="str">
        <f t="shared" si="38"/>
        <v>Data Engineer</v>
      </c>
      <c r="H241" t="s">
        <v>35</v>
      </c>
      <c r="I241" t="s">
        <v>57</v>
      </c>
      <c r="J241" t="s">
        <v>495</v>
      </c>
      <c r="K241" t="str">
        <f t="shared" si="39"/>
        <v>Manufacturing</v>
      </c>
      <c r="L241" t="str">
        <f t="shared" si="40"/>
        <v>Others</v>
      </c>
      <c r="M241" t="s">
        <v>38</v>
      </c>
      <c r="N241" t="str">
        <f t="shared" si="41"/>
        <v>Python</v>
      </c>
      <c r="O241" t="str">
        <f t="shared" si="42"/>
        <v>Python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tr">
        <f t="shared" si="43"/>
        <v>Better Salary</v>
      </c>
      <c r="Y241" t="str">
        <f t="shared" si="44"/>
        <v>Better Salary</v>
      </c>
      <c r="Z241" t="s">
        <v>41</v>
      </c>
      <c r="AA241">
        <v>36</v>
      </c>
      <c r="AB241" t="s">
        <v>569</v>
      </c>
      <c r="AC241" t="str">
        <f t="shared" si="45"/>
        <v>Singapore</v>
      </c>
      <c r="AD241" t="str">
        <f t="shared" si="46"/>
        <v>Others</v>
      </c>
      <c r="AE241" t="s">
        <v>266</v>
      </c>
      <c r="AF241" t="s">
        <v>52</v>
      </c>
      <c r="AG241" t="str">
        <f t="shared" si="36"/>
        <v>Asian or Asian American</v>
      </c>
      <c r="AH241" t="str">
        <f t="shared" si="47"/>
        <v>Asian or Asian American</v>
      </c>
    </row>
    <row r="242" spans="1:34" x14ac:dyDescent="0.25">
      <c r="A242" t="s">
        <v>786</v>
      </c>
      <c r="B242" t="s">
        <v>30</v>
      </c>
      <c r="C242" t="s">
        <v>785</v>
      </c>
      <c r="D242" t="s">
        <v>97</v>
      </c>
      <c r="E242" t="s">
        <v>34</v>
      </c>
      <c r="F242" t="str">
        <f t="shared" si="37"/>
        <v>Data Analyst</v>
      </c>
      <c r="G242" t="str">
        <f t="shared" si="38"/>
        <v>Data Analyst</v>
      </c>
      <c r="H242" t="s">
        <v>35</v>
      </c>
      <c r="I242" t="s">
        <v>98</v>
      </c>
      <c r="J242" t="s">
        <v>49</v>
      </c>
      <c r="K242" t="str">
        <f t="shared" si="39"/>
        <v>Finance</v>
      </c>
      <c r="L242" t="str">
        <f t="shared" si="40"/>
        <v>Finance</v>
      </c>
      <c r="M242" t="s">
        <v>38</v>
      </c>
      <c r="N242" t="str">
        <f t="shared" si="41"/>
        <v>Python</v>
      </c>
      <c r="O242" t="str">
        <f t="shared" si="42"/>
        <v>Python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tr">
        <f t="shared" si="43"/>
        <v>Better Salary</v>
      </c>
      <c r="Y242" t="str">
        <f t="shared" si="44"/>
        <v>Better Salary</v>
      </c>
      <c r="Z242" t="s">
        <v>41</v>
      </c>
      <c r="AA242">
        <v>35</v>
      </c>
      <c r="AB242" t="s">
        <v>42</v>
      </c>
      <c r="AC242" t="str">
        <f t="shared" si="45"/>
        <v>United States</v>
      </c>
      <c r="AD242" t="str">
        <f t="shared" si="46"/>
        <v>United States</v>
      </c>
      <c r="AE242" t="s">
        <v>241</v>
      </c>
      <c r="AF242" t="s">
        <v>95</v>
      </c>
      <c r="AG242" t="str">
        <f t="shared" si="36"/>
        <v>Hispanic or Latino</v>
      </c>
      <c r="AH242" t="str">
        <f t="shared" si="47"/>
        <v>Hispanic or Latino</v>
      </c>
    </row>
    <row r="243" spans="1:34" x14ac:dyDescent="0.25">
      <c r="A243" t="s">
        <v>787</v>
      </c>
      <c r="B243" t="s">
        <v>30</v>
      </c>
      <c r="C243" t="s">
        <v>788</v>
      </c>
      <c r="D243" t="s">
        <v>704</v>
      </c>
      <c r="E243" t="s">
        <v>34</v>
      </c>
      <c r="F243" t="str">
        <f t="shared" si="37"/>
        <v>Data Analyst</v>
      </c>
      <c r="G243" t="str">
        <f t="shared" si="38"/>
        <v>Data Analyst</v>
      </c>
      <c r="H243" t="s">
        <v>35</v>
      </c>
      <c r="I243" t="s">
        <v>98</v>
      </c>
      <c r="J243" t="s">
        <v>107</v>
      </c>
      <c r="K243" t="str">
        <f t="shared" si="39"/>
        <v>Tech</v>
      </c>
      <c r="L243" t="str">
        <f t="shared" si="40"/>
        <v>Tech</v>
      </c>
      <c r="M243" t="s">
        <v>38</v>
      </c>
      <c r="N243" t="str">
        <f t="shared" si="41"/>
        <v>Python</v>
      </c>
      <c r="O243" t="str">
        <f t="shared" si="42"/>
        <v>Python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tr">
        <f t="shared" si="43"/>
        <v>Good Work/Life Balance</v>
      </c>
      <c r="Y243" t="str">
        <f t="shared" si="44"/>
        <v>Good Work/Life Balance</v>
      </c>
      <c r="Z243" t="s">
        <v>41</v>
      </c>
      <c r="AA243">
        <v>29</v>
      </c>
      <c r="AB243" t="s">
        <v>42</v>
      </c>
      <c r="AC243" t="str">
        <f t="shared" si="45"/>
        <v>United States</v>
      </c>
      <c r="AD243" t="str">
        <f t="shared" si="46"/>
        <v>United States</v>
      </c>
      <c r="AE243" t="s">
        <v>244</v>
      </c>
      <c r="AF243" t="s">
        <v>52</v>
      </c>
      <c r="AG243" t="str">
        <f t="shared" si="36"/>
        <v>Asian or Asian American</v>
      </c>
      <c r="AH243" t="str">
        <f t="shared" si="47"/>
        <v>Asian or Asian American</v>
      </c>
    </row>
    <row r="244" spans="1:34" x14ac:dyDescent="0.25">
      <c r="A244" t="s">
        <v>789</v>
      </c>
      <c r="B244" t="s">
        <v>30</v>
      </c>
      <c r="C244" t="s">
        <v>788</v>
      </c>
      <c r="D244" t="s">
        <v>790</v>
      </c>
      <c r="E244" t="s">
        <v>34</v>
      </c>
      <c r="F244" t="str">
        <f t="shared" si="37"/>
        <v>Data Analyst</v>
      </c>
      <c r="G244" t="str">
        <f t="shared" si="38"/>
        <v>Data Analyst</v>
      </c>
      <c r="H244" t="s">
        <v>47</v>
      </c>
      <c r="I244" t="s">
        <v>48</v>
      </c>
      <c r="J244" t="s">
        <v>49</v>
      </c>
      <c r="K244" t="str">
        <f t="shared" si="39"/>
        <v>Finance</v>
      </c>
      <c r="L244" t="str">
        <f t="shared" si="40"/>
        <v>Finance</v>
      </c>
      <c r="M244" t="s">
        <v>38</v>
      </c>
      <c r="N244" t="str">
        <f t="shared" si="41"/>
        <v>Python</v>
      </c>
      <c r="O244" t="str">
        <f t="shared" si="42"/>
        <v>Python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tr">
        <f t="shared" si="43"/>
        <v>I just started and I don't like programming so much, so I would search for a more "impactiful" role. Meaning: being able to take decisions that steer the business.</v>
      </c>
      <c r="Y244" t="str">
        <f t="shared" si="44"/>
        <v>Others</v>
      </c>
      <c r="Z244" t="s">
        <v>69</v>
      </c>
      <c r="AA244">
        <v>25</v>
      </c>
      <c r="AB244" t="s">
        <v>271</v>
      </c>
      <c r="AC244" t="str">
        <f t="shared" si="45"/>
        <v>Germany</v>
      </c>
      <c r="AD244" t="str">
        <f t="shared" si="46"/>
        <v>Germany</v>
      </c>
      <c r="AE244" t="s">
        <v>244</v>
      </c>
      <c r="AF244" t="s">
        <v>95</v>
      </c>
      <c r="AG244" t="str">
        <f t="shared" si="36"/>
        <v>Hispanic or Latino</v>
      </c>
      <c r="AH244" t="str">
        <f t="shared" si="47"/>
        <v>Hispanic or Latino</v>
      </c>
    </row>
    <row r="245" spans="1:34" x14ac:dyDescent="0.25">
      <c r="A245" t="s">
        <v>792</v>
      </c>
      <c r="B245" t="s">
        <v>30</v>
      </c>
      <c r="C245" t="s">
        <v>788</v>
      </c>
      <c r="D245" t="s">
        <v>793</v>
      </c>
      <c r="E245" t="s">
        <v>794</v>
      </c>
      <c r="F245" t="str">
        <f t="shared" si="37"/>
        <v>Database Developer</v>
      </c>
      <c r="G245" t="str">
        <f t="shared" si="38"/>
        <v>Database Developer</v>
      </c>
      <c r="H245" t="s">
        <v>35</v>
      </c>
      <c r="I245" t="s">
        <v>48</v>
      </c>
      <c r="J245" t="s">
        <v>795</v>
      </c>
      <c r="K245" t="str">
        <f t="shared" si="39"/>
        <v>Hospitality</v>
      </c>
      <c r="L245" t="str">
        <f t="shared" si="40"/>
        <v>Others</v>
      </c>
      <c r="M245" t="s">
        <v>38</v>
      </c>
      <c r="N245" t="str">
        <f t="shared" si="41"/>
        <v>Python</v>
      </c>
      <c r="O245" t="str">
        <f t="shared" si="42"/>
        <v>Python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tr">
        <f t="shared" si="43"/>
        <v>Remote Work</v>
      </c>
      <c r="Y245" t="str">
        <f t="shared" si="44"/>
        <v>Remote Work</v>
      </c>
      <c r="Z245" t="s">
        <v>41</v>
      </c>
      <c r="AA245">
        <v>29</v>
      </c>
      <c r="AB245" t="s">
        <v>42</v>
      </c>
      <c r="AC245" t="str">
        <f t="shared" si="45"/>
        <v>United States</v>
      </c>
      <c r="AD245" t="str">
        <f t="shared" si="46"/>
        <v>United States</v>
      </c>
      <c r="AE245" t="s">
        <v>241</v>
      </c>
      <c r="AF245" t="s">
        <v>43</v>
      </c>
      <c r="AG245" t="str">
        <f t="shared" si="36"/>
        <v>White or Caucasian</v>
      </c>
      <c r="AH245" t="str">
        <f t="shared" si="47"/>
        <v>White or Caucasian</v>
      </c>
    </row>
    <row r="246" spans="1:34" x14ac:dyDescent="0.25">
      <c r="A246" t="s">
        <v>796</v>
      </c>
      <c r="B246" t="s">
        <v>30</v>
      </c>
      <c r="C246" t="s">
        <v>797</v>
      </c>
      <c r="D246" t="s">
        <v>269</v>
      </c>
      <c r="E246" t="s">
        <v>34</v>
      </c>
      <c r="F246" t="str">
        <f t="shared" si="37"/>
        <v>Data Analyst</v>
      </c>
      <c r="G246" t="str">
        <f t="shared" si="38"/>
        <v>Data Analyst</v>
      </c>
      <c r="H246" t="s">
        <v>47</v>
      </c>
      <c r="I246" t="s">
        <v>91</v>
      </c>
      <c r="J246" t="s">
        <v>798</v>
      </c>
      <c r="K246" t="str">
        <f t="shared" si="39"/>
        <v>Agriculture</v>
      </c>
      <c r="L246" t="str">
        <f t="shared" si="40"/>
        <v>Others</v>
      </c>
      <c r="M246" t="s">
        <v>38</v>
      </c>
      <c r="N246" t="str">
        <f t="shared" si="41"/>
        <v>Python</v>
      </c>
      <c r="O246" t="str">
        <f t="shared" si="42"/>
        <v>Python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tr">
        <f t="shared" si="43"/>
        <v>Good Work/Life Balance</v>
      </c>
      <c r="Y246" t="str">
        <f t="shared" si="44"/>
        <v>Good Work/Life Balance</v>
      </c>
      <c r="Z246" t="s">
        <v>41</v>
      </c>
      <c r="AA246">
        <v>26</v>
      </c>
      <c r="AB246" t="s">
        <v>42</v>
      </c>
      <c r="AC246" t="str">
        <f t="shared" si="45"/>
        <v>United States</v>
      </c>
      <c r="AD246" t="str">
        <f t="shared" si="46"/>
        <v>United States</v>
      </c>
      <c r="AE246" t="s">
        <v>241</v>
      </c>
      <c r="AF246" t="s">
        <v>62</v>
      </c>
      <c r="AG246" t="str">
        <f t="shared" si="36"/>
        <v>Black or African American</v>
      </c>
      <c r="AH246" t="str">
        <f t="shared" si="47"/>
        <v>Black or African American</v>
      </c>
    </row>
    <row r="247" spans="1:34" x14ac:dyDescent="0.25">
      <c r="A247" t="s">
        <v>799</v>
      </c>
      <c r="B247" t="s">
        <v>30</v>
      </c>
      <c r="C247" t="s">
        <v>797</v>
      </c>
      <c r="D247" t="s">
        <v>375</v>
      </c>
      <c r="E247" t="s">
        <v>34</v>
      </c>
      <c r="F247" t="str">
        <f t="shared" si="37"/>
        <v>Data Analyst</v>
      </c>
      <c r="G247" t="str">
        <f t="shared" si="38"/>
        <v>Data Analyst</v>
      </c>
      <c r="H247" t="s">
        <v>47</v>
      </c>
      <c r="I247" t="s">
        <v>57</v>
      </c>
      <c r="J247" t="s">
        <v>344</v>
      </c>
      <c r="K247" t="str">
        <f t="shared" si="39"/>
        <v>Marketing</v>
      </c>
      <c r="L247" t="str">
        <f t="shared" si="40"/>
        <v>Others</v>
      </c>
      <c r="M247" t="s">
        <v>50</v>
      </c>
      <c r="N247" t="str">
        <f t="shared" si="41"/>
        <v>R</v>
      </c>
      <c r="O247" t="str">
        <f t="shared" si="42"/>
        <v>R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tr">
        <f t="shared" si="43"/>
        <v>Remote Work</v>
      </c>
      <c r="Y247" t="str">
        <f t="shared" si="44"/>
        <v>Remote Work</v>
      </c>
      <c r="Z247" t="s">
        <v>41</v>
      </c>
      <c r="AA247">
        <v>34</v>
      </c>
      <c r="AB247" t="s">
        <v>800</v>
      </c>
      <c r="AC247" t="str">
        <f t="shared" si="45"/>
        <v>Ghana</v>
      </c>
      <c r="AD247" t="str">
        <f t="shared" si="46"/>
        <v>Others</v>
      </c>
      <c r="AE247" t="s">
        <v>241</v>
      </c>
      <c r="AF247" t="s">
        <v>62</v>
      </c>
      <c r="AG247" t="str">
        <f t="shared" si="36"/>
        <v>Black or African American</v>
      </c>
      <c r="AH247" t="str">
        <f t="shared" si="47"/>
        <v>Black or African American</v>
      </c>
    </row>
    <row r="248" spans="1:34" x14ac:dyDescent="0.25">
      <c r="A248" t="s">
        <v>801</v>
      </c>
      <c r="B248" t="s">
        <v>30</v>
      </c>
      <c r="C248" t="s">
        <v>802</v>
      </c>
      <c r="D248" t="s">
        <v>93</v>
      </c>
      <c r="E248" t="s">
        <v>34</v>
      </c>
      <c r="F248" t="str">
        <f t="shared" si="37"/>
        <v>Data Analyst</v>
      </c>
      <c r="G248" t="str">
        <f t="shared" si="38"/>
        <v>Data Analyst</v>
      </c>
      <c r="H248" t="s">
        <v>35</v>
      </c>
      <c r="I248" t="s">
        <v>57</v>
      </c>
      <c r="J248" t="s">
        <v>49</v>
      </c>
      <c r="K248" t="str">
        <f t="shared" si="39"/>
        <v>Finance</v>
      </c>
      <c r="L248" t="str">
        <f t="shared" si="40"/>
        <v>Finance</v>
      </c>
      <c r="M248" t="s">
        <v>38</v>
      </c>
      <c r="N248" t="str">
        <f t="shared" si="41"/>
        <v>Python</v>
      </c>
      <c r="O248" t="str">
        <f t="shared" si="42"/>
        <v>Python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tr">
        <f t="shared" si="43"/>
        <v>Good Work/Life Balance</v>
      </c>
      <c r="Y248" t="str">
        <f t="shared" si="44"/>
        <v>Good Work/Life Balance</v>
      </c>
      <c r="Z248" t="s">
        <v>41</v>
      </c>
      <c r="AA248">
        <v>26</v>
      </c>
      <c r="AB248" t="s">
        <v>448</v>
      </c>
      <c r="AC248" t="str">
        <f t="shared" si="45"/>
        <v>Egypt</v>
      </c>
      <c r="AD248" t="str">
        <f t="shared" si="46"/>
        <v>Egypt</v>
      </c>
      <c r="AE248" t="s">
        <v>241</v>
      </c>
      <c r="AF248" t="s">
        <v>43</v>
      </c>
      <c r="AG248" t="str">
        <f t="shared" si="36"/>
        <v>White or Caucasian</v>
      </c>
      <c r="AH248" t="str">
        <f t="shared" si="47"/>
        <v>White or Caucasian</v>
      </c>
    </row>
    <row r="249" spans="1:34" x14ac:dyDescent="0.25">
      <c r="A249" t="s">
        <v>803</v>
      </c>
      <c r="B249" t="s">
        <v>30</v>
      </c>
      <c r="C249" t="s">
        <v>804</v>
      </c>
      <c r="D249" t="s">
        <v>805</v>
      </c>
      <c r="E249" t="s">
        <v>34</v>
      </c>
      <c r="F249" t="str">
        <f t="shared" si="37"/>
        <v>Data Analyst</v>
      </c>
      <c r="G249" t="str">
        <f t="shared" si="38"/>
        <v>Data Analyst</v>
      </c>
      <c r="H249" t="s">
        <v>47</v>
      </c>
      <c r="I249" t="s">
        <v>57</v>
      </c>
      <c r="J249" t="s">
        <v>107</v>
      </c>
      <c r="K249" t="str">
        <f t="shared" si="39"/>
        <v>Tech</v>
      </c>
      <c r="L249" t="str">
        <f t="shared" si="40"/>
        <v>Tech</v>
      </c>
      <c r="M249" t="s">
        <v>38</v>
      </c>
      <c r="N249" t="str">
        <f t="shared" si="41"/>
        <v>Python</v>
      </c>
      <c r="O249" t="str">
        <f t="shared" si="42"/>
        <v>Python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tr">
        <f t="shared" si="43"/>
        <v>Good opportunities in projects and learnjng</v>
      </c>
      <c r="Y249" t="str">
        <f t="shared" si="44"/>
        <v>Others</v>
      </c>
      <c r="Z249" t="s">
        <v>69</v>
      </c>
      <c r="AA249">
        <v>22</v>
      </c>
      <c r="AB249" t="s">
        <v>151</v>
      </c>
      <c r="AC249" t="str">
        <f t="shared" si="45"/>
        <v>India</v>
      </c>
      <c r="AD249" t="str">
        <f t="shared" si="46"/>
        <v>India</v>
      </c>
      <c r="AE249" t="s">
        <v>241</v>
      </c>
      <c r="AF249" t="s">
        <v>52</v>
      </c>
      <c r="AG249" t="str">
        <f t="shared" si="36"/>
        <v>Asian or Asian American</v>
      </c>
      <c r="AH249" t="str">
        <f t="shared" si="47"/>
        <v>Asian or Asian American</v>
      </c>
    </row>
    <row r="250" spans="1:34" x14ac:dyDescent="0.25">
      <c r="A250" t="s">
        <v>807</v>
      </c>
      <c r="B250" t="s">
        <v>30</v>
      </c>
      <c r="C250" t="s">
        <v>808</v>
      </c>
      <c r="D250" t="s">
        <v>686</v>
      </c>
      <c r="E250" t="s">
        <v>127</v>
      </c>
      <c r="F250" t="str">
        <f t="shared" si="37"/>
        <v>Student/Looking/None</v>
      </c>
      <c r="G250" t="str">
        <f t="shared" si="38"/>
        <v>Student/Looking/None</v>
      </c>
      <c r="H250" t="s">
        <v>35</v>
      </c>
      <c r="I250" t="s">
        <v>57</v>
      </c>
      <c r="J250" t="s">
        <v>117</v>
      </c>
      <c r="K250" t="str">
        <f t="shared" si="39"/>
        <v>Construction</v>
      </c>
      <c r="L250" t="str">
        <f t="shared" si="40"/>
        <v>Construction</v>
      </c>
      <c r="M250" t="s">
        <v>38</v>
      </c>
      <c r="N250" t="str">
        <f t="shared" si="41"/>
        <v>Python</v>
      </c>
      <c r="O250" t="str">
        <f t="shared" si="42"/>
        <v>Python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tr">
        <f t="shared" si="43"/>
        <v>Remote Work</v>
      </c>
      <c r="Y250" t="str">
        <f t="shared" si="44"/>
        <v>Remote Work</v>
      </c>
      <c r="Z250" t="s">
        <v>69</v>
      </c>
      <c r="AA250">
        <v>24</v>
      </c>
      <c r="AB250" t="s">
        <v>136</v>
      </c>
      <c r="AC250" t="str">
        <f t="shared" si="45"/>
        <v>Kenya</v>
      </c>
      <c r="AD250" t="str">
        <f t="shared" si="46"/>
        <v>Kenya</v>
      </c>
      <c r="AE250" t="s">
        <v>241</v>
      </c>
      <c r="AF250" t="s">
        <v>62</v>
      </c>
      <c r="AG250" t="str">
        <f t="shared" si="36"/>
        <v>Black or African American</v>
      </c>
      <c r="AH250" t="str">
        <f t="shared" si="47"/>
        <v>Black or African American</v>
      </c>
    </row>
    <row r="251" spans="1:34" x14ac:dyDescent="0.25">
      <c r="A251" t="s">
        <v>809</v>
      </c>
      <c r="B251" t="s">
        <v>30</v>
      </c>
      <c r="C251" t="s">
        <v>810</v>
      </c>
      <c r="D251" t="s">
        <v>343</v>
      </c>
      <c r="E251" t="s">
        <v>34</v>
      </c>
      <c r="F251" t="str">
        <f t="shared" si="37"/>
        <v>Data Analyst</v>
      </c>
      <c r="G251" t="str">
        <f t="shared" si="38"/>
        <v>Data Analyst</v>
      </c>
      <c r="H251" t="s">
        <v>47</v>
      </c>
      <c r="I251" t="s">
        <v>57</v>
      </c>
      <c r="J251" t="s">
        <v>811</v>
      </c>
      <c r="K251" t="str">
        <f t="shared" si="39"/>
        <v>Medical industry</v>
      </c>
      <c r="L251" t="str">
        <f t="shared" si="40"/>
        <v>Others</v>
      </c>
      <c r="M251" t="s">
        <v>38</v>
      </c>
      <c r="N251" t="str">
        <f t="shared" si="41"/>
        <v>Python</v>
      </c>
      <c r="O251" t="str">
        <f t="shared" si="42"/>
        <v>Python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tr">
        <f t="shared" si="43"/>
        <v>Better Salary</v>
      </c>
      <c r="Y251" t="str">
        <f t="shared" si="44"/>
        <v>Better Salary</v>
      </c>
      <c r="Z251" t="s">
        <v>41</v>
      </c>
      <c r="AA251">
        <v>26</v>
      </c>
      <c r="AB251" t="s">
        <v>407</v>
      </c>
      <c r="AC251" t="str">
        <f t="shared" si="45"/>
        <v>Costa Rica</v>
      </c>
      <c r="AD251" t="str">
        <f t="shared" si="46"/>
        <v>Costa Rica</v>
      </c>
      <c r="AE251" t="s">
        <v>241</v>
      </c>
      <c r="AF251" t="s">
        <v>95</v>
      </c>
      <c r="AG251" t="str">
        <f t="shared" si="36"/>
        <v>Hispanic or Latino</v>
      </c>
      <c r="AH251" t="str">
        <f t="shared" si="47"/>
        <v>Hispanic or Latino</v>
      </c>
    </row>
    <row r="252" spans="1:34" x14ac:dyDescent="0.25">
      <c r="A252" t="s">
        <v>812</v>
      </c>
      <c r="B252" t="s">
        <v>30</v>
      </c>
      <c r="C252" t="s">
        <v>810</v>
      </c>
      <c r="D252" t="s">
        <v>813</v>
      </c>
      <c r="E252" t="s">
        <v>728</v>
      </c>
      <c r="F252" t="str">
        <f t="shared" si="37"/>
        <v>Data Architect</v>
      </c>
      <c r="G252" t="str">
        <f t="shared" si="38"/>
        <v>Others</v>
      </c>
      <c r="H252" t="s">
        <v>35</v>
      </c>
      <c r="I252" t="s">
        <v>57</v>
      </c>
      <c r="J252" t="s">
        <v>49</v>
      </c>
      <c r="K252" t="str">
        <f t="shared" si="39"/>
        <v>Finance</v>
      </c>
      <c r="L252" t="str">
        <f t="shared" si="40"/>
        <v>Finance</v>
      </c>
      <c r="M252" t="s">
        <v>38</v>
      </c>
      <c r="N252" t="str">
        <f t="shared" si="41"/>
        <v>Python</v>
      </c>
      <c r="O252" t="str">
        <f t="shared" si="42"/>
        <v>Python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tr">
        <f t="shared" si="43"/>
        <v>Good Work/Life Balance</v>
      </c>
      <c r="Y252" t="str">
        <f t="shared" si="44"/>
        <v>Good Work/Life Balance</v>
      </c>
      <c r="Z252" t="s">
        <v>69</v>
      </c>
      <c r="AA252">
        <v>34</v>
      </c>
      <c r="AB252" t="s">
        <v>814</v>
      </c>
      <c r="AC252" t="str">
        <f t="shared" si="45"/>
        <v>Portugsl</v>
      </c>
      <c r="AD252" t="str">
        <f t="shared" si="46"/>
        <v>Others</v>
      </c>
      <c r="AE252" t="s">
        <v>244</v>
      </c>
      <c r="AF252" t="s">
        <v>43</v>
      </c>
      <c r="AG252" t="str">
        <f t="shared" si="36"/>
        <v>White or Caucasian</v>
      </c>
      <c r="AH252" t="str">
        <f t="shared" si="47"/>
        <v>White or Caucasian</v>
      </c>
    </row>
    <row r="253" spans="1:34" x14ac:dyDescent="0.25">
      <c r="A253" t="s">
        <v>815</v>
      </c>
      <c r="B253" t="s">
        <v>30</v>
      </c>
      <c r="C253" t="s">
        <v>816</v>
      </c>
      <c r="D253" t="s">
        <v>817</v>
      </c>
      <c r="E253" t="s">
        <v>34</v>
      </c>
      <c r="F253" t="str">
        <f t="shared" si="37"/>
        <v>Data Analyst</v>
      </c>
      <c r="G253" t="str">
        <f t="shared" si="38"/>
        <v>Data Analyst</v>
      </c>
      <c r="H253" t="s">
        <v>47</v>
      </c>
      <c r="I253" t="s">
        <v>57</v>
      </c>
      <c r="J253" t="s">
        <v>107</v>
      </c>
      <c r="K253" t="str">
        <f t="shared" si="39"/>
        <v>Tech</v>
      </c>
      <c r="L253" t="str">
        <f t="shared" si="40"/>
        <v>Tech</v>
      </c>
      <c r="M253" t="s">
        <v>38</v>
      </c>
      <c r="N253" t="str">
        <f t="shared" si="41"/>
        <v>Python</v>
      </c>
      <c r="O253" t="str">
        <f t="shared" si="42"/>
        <v>Python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tr">
        <f t="shared" si="43"/>
        <v>Better Salary</v>
      </c>
      <c r="Y253" t="str">
        <f t="shared" si="44"/>
        <v>Better Salary</v>
      </c>
      <c r="Z253" t="s">
        <v>41</v>
      </c>
      <c r="AA253">
        <v>29</v>
      </c>
      <c r="AB253" t="s">
        <v>151</v>
      </c>
      <c r="AC253" t="str">
        <f t="shared" si="45"/>
        <v>India</v>
      </c>
      <c r="AD253" t="str">
        <f t="shared" si="46"/>
        <v>India</v>
      </c>
      <c r="AE253" t="s">
        <v>241</v>
      </c>
      <c r="AF253" t="s">
        <v>52</v>
      </c>
      <c r="AG253" t="str">
        <f t="shared" si="36"/>
        <v>Asian or Asian American</v>
      </c>
      <c r="AH253" t="str">
        <f t="shared" si="47"/>
        <v>Asian or Asian American</v>
      </c>
    </row>
    <row r="254" spans="1:34" x14ac:dyDescent="0.25">
      <c r="A254" t="s">
        <v>818</v>
      </c>
      <c r="B254" t="s">
        <v>30</v>
      </c>
      <c r="C254" t="s">
        <v>819</v>
      </c>
      <c r="D254" t="s">
        <v>93</v>
      </c>
      <c r="E254" t="s">
        <v>81</v>
      </c>
      <c r="F254" t="str">
        <f t="shared" si="37"/>
        <v>Data Scientist</v>
      </c>
      <c r="G254" t="str">
        <f t="shared" si="38"/>
        <v>Data Scientist</v>
      </c>
      <c r="H254" t="s">
        <v>47</v>
      </c>
      <c r="I254" t="s">
        <v>57</v>
      </c>
      <c r="J254" t="s">
        <v>107</v>
      </c>
      <c r="K254" t="str">
        <f t="shared" si="39"/>
        <v>Tech</v>
      </c>
      <c r="L254" t="str">
        <f t="shared" si="40"/>
        <v>Tech</v>
      </c>
      <c r="M254" t="s">
        <v>50</v>
      </c>
      <c r="N254" t="str">
        <f t="shared" si="41"/>
        <v>R</v>
      </c>
      <c r="O254" t="str">
        <f t="shared" si="42"/>
        <v>R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tr">
        <f t="shared" si="43"/>
        <v>Better Salary</v>
      </c>
      <c r="Y254" t="str">
        <f t="shared" si="44"/>
        <v>Better Salary</v>
      </c>
      <c r="Z254" t="s">
        <v>41</v>
      </c>
      <c r="AA254">
        <v>21</v>
      </c>
      <c r="AB254" t="s">
        <v>61</v>
      </c>
      <c r="AC254" t="str">
        <f t="shared" si="45"/>
        <v>Nigeria</v>
      </c>
      <c r="AD254" t="str">
        <f t="shared" si="46"/>
        <v>Nigeria</v>
      </c>
      <c r="AE254" t="s">
        <v>241</v>
      </c>
      <c r="AF254" t="s">
        <v>62</v>
      </c>
      <c r="AG254" t="str">
        <f t="shared" si="36"/>
        <v>Black or African American</v>
      </c>
      <c r="AH254" t="str">
        <f t="shared" si="47"/>
        <v>Black or African American</v>
      </c>
    </row>
    <row r="255" spans="1:34" x14ac:dyDescent="0.25">
      <c r="A255" t="s">
        <v>820</v>
      </c>
      <c r="B255" t="s">
        <v>30</v>
      </c>
      <c r="C255" t="s">
        <v>819</v>
      </c>
      <c r="D255" t="s">
        <v>228</v>
      </c>
      <c r="E255" t="s">
        <v>821</v>
      </c>
      <c r="F255" t="str">
        <f t="shared" si="37"/>
        <v>Financial Analyst</v>
      </c>
      <c r="G255" t="str">
        <f t="shared" si="38"/>
        <v>Others</v>
      </c>
      <c r="H255" t="s">
        <v>47</v>
      </c>
      <c r="I255" t="s">
        <v>57</v>
      </c>
      <c r="J255" t="s">
        <v>822</v>
      </c>
      <c r="K255" t="str">
        <f t="shared" si="39"/>
        <v>Management</v>
      </c>
      <c r="L255" t="str">
        <f t="shared" si="40"/>
        <v>Others</v>
      </c>
      <c r="M255" t="s">
        <v>38</v>
      </c>
      <c r="N255" t="str">
        <f t="shared" si="41"/>
        <v>Python</v>
      </c>
      <c r="O255" t="str">
        <f t="shared" si="42"/>
        <v>Python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tr">
        <f t="shared" si="43"/>
        <v>Good Work/Life Balance</v>
      </c>
      <c r="Y255" t="str">
        <f t="shared" si="44"/>
        <v>Good Work/Life Balance</v>
      </c>
      <c r="Z255" t="s">
        <v>69</v>
      </c>
      <c r="AA255">
        <v>35</v>
      </c>
      <c r="AB255" t="s">
        <v>823</v>
      </c>
      <c r="AC255" t="str">
        <f t="shared" si="45"/>
        <v>Macedonia</v>
      </c>
      <c r="AD255" t="str">
        <f t="shared" si="46"/>
        <v>Others</v>
      </c>
      <c r="AE255" t="s">
        <v>244</v>
      </c>
      <c r="AF255" t="s">
        <v>43</v>
      </c>
      <c r="AG255" t="str">
        <f t="shared" si="36"/>
        <v>White or Caucasian</v>
      </c>
      <c r="AH255" t="str">
        <f t="shared" si="47"/>
        <v>White or Caucasian</v>
      </c>
    </row>
    <row r="256" spans="1:34" x14ac:dyDescent="0.25">
      <c r="A256" t="s">
        <v>824</v>
      </c>
      <c r="B256" t="s">
        <v>30</v>
      </c>
      <c r="C256" t="s">
        <v>825</v>
      </c>
      <c r="D256" t="s">
        <v>826</v>
      </c>
      <c r="E256" t="s">
        <v>34</v>
      </c>
      <c r="F256" t="str">
        <f t="shared" si="37"/>
        <v>Data Analyst</v>
      </c>
      <c r="G256" t="str">
        <f t="shared" si="38"/>
        <v>Data Analyst</v>
      </c>
      <c r="H256" t="s">
        <v>47</v>
      </c>
      <c r="I256" t="s">
        <v>48</v>
      </c>
      <c r="J256" t="s">
        <v>112</v>
      </c>
      <c r="K256" t="str">
        <f t="shared" si="39"/>
        <v>Education</v>
      </c>
      <c r="L256" t="str">
        <f t="shared" si="40"/>
        <v>Education</v>
      </c>
      <c r="M256" t="s">
        <v>38</v>
      </c>
      <c r="N256" t="str">
        <f t="shared" si="41"/>
        <v>Python</v>
      </c>
      <c r="O256" t="str">
        <f t="shared" si="42"/>
        <v>Python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tr">
        <f t="shared" si="43"/>
        <v>Good Work/Life Balance</v>
      </c>
      <c r="Y256" t="str">
        <f t="shared" si="44"/>
        <v>Good Work/Life Balance</v>
      </c>
      <c r="Z256" t="s">
        <v>41</v>
      </c>
      <c r="AA256">
        <v>26</v>
      </c>
      <c r="AB256" t="s">
        <v>42</v>
      </c>
      <c r="AC256" t="str">
        <f t="shared" si="45"/>
        <v>United States</v>
      </c>
      <c r="AD256" t="str">
        <f t="shared" si="46"/>
        <v>United States</v>
      </c>
      <c r="AE256" t="s">
        <v>241</v>
      </c>
      <c r="AF256" t="s">
        <v>62</v>
      </c>
      <c r="AG256" t="str">
        <f t="shared" si="36"/>
        <v>Black or African American</v>
      </c>
      <c r="AH256" t="str">
        <f t="shared" si="47"/>
        <v>Black or African American</v>
      </c>
    </row>
    <row r="257" spans="1:34" x14ac:dyDescent="0.25">
      <c r="A257" t="s">
        <v>827</v>
      </c>
      <c r="B257" t="s">
        <v>30</v>
      </c>
      <c r="C257" t="s">
        <v>828</v>
      </c>
      <c r="D257" t="s">
        <v>829</v>
      </c>
      <c r="E257" t="s">
        <v>34</v>
      </c>
      <c r="F257" t="str">
        <f t="shared" si="37"/>
        <v>Data Analyst</v>
      </c>
      <c r="G257" t="str">
        <f t="shared" si="38"/>
        <v>Data Analyst</v>
      </c>
      <c r="H257" t="s">
        <v>35</v>
      </c>
      <c r="I257" t="s">
        <v>48</v>
      </c>
      <c r="J257" t="s">
        <v>830</v>
      </c>
      <c r="K257" t="str">
        <f t="shared" si="39"/>
        <v>Warehouse</v>
      </c>
      <c r="L257" t="str">
        <f t="shared" si="40"/>
        <v>Others</v>
      </c>
      <c r="M257" t="s">
        <v>38</v>
      </c>
      <c r="N257" t="str">
        <f t="shared" si="41"/>
        <v>Python</v>
      </c>
      <c r="O257" t="str">
        <f t="shared" si="42"/>
        <v>Python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tr">
        <f t="shared" si="43"/>
        <v>Remote Work</v>
      </c>
      <c r="Y257" t="str">
        <f t="shared" si="44"/>
        <v>Remote Work</v>
      </c>
      <c r="Z257" t="s">
        <v>41</v>
      </c>
      <c r="AA257">
        <v>28</v>
      </c>
      <c r="AB257" t="s">
        <v>42</v>
      </c>
      <c r="AC257" t="str">
        <f t="shared" si="45"/>
        <v>United States</v>
      </c>
      <c r="AD257" t="str">
        <f t="shared" si="46"/>
        <v>United States</v>
      </c>
      <c r="AE257" t="s">
        <v>241</v>
      </c>
      <c r="AF257" t="s">
        <v>43</v>
      </c>
      <c r="AG257" t="str">
        <f t="shared" si="36"/>
        <v>White or Caucasian</v>
      </c>
      <c r="AH257" t="str">
        <f t="shared" si="47"/>
        <v>White or Caucasian</v>
      </c>
    </row>
    <row r="258" spans="1:34" x14ac:dyDescent="0.25">
      <c r="A258" t="s">
        <v>831</v>
      </c>
      <c r="B258" t="s">
        <v>30</v>
      </c>
      <c r="C258" t="s">
        <v>832</v>
      </c>
      <c r="D258" t="s">
        <v>375</v>
      </c>
      <c r="E258" t="s">
        <v>833</v>
      </c>
      <c r="F258" t="str">
        <f t="shared" si="37"/>
        <v>Database Manager</v>
      </c>
      <c r="G258" t="str">
        <f t="shared" si="38"/>
        <v>Others</v>
      </c>
      <c r="H258" t="s">
        <v>47</v>
      </c>
      <c r="I258" t="s">
        <v>48</v>
      </c>
      <c r="J258" t="s">
        <v>834</v>
      </c>
      <c r="K258" t="str">
        <f t="shared" si="39"/>
        <v>Non profit Animal Welfare</v>
      </c>
      <c r="L258" t="str">
        <f t="shared" si="40"/>
        <v>Others</v>
      </c>
      <c r="M258" t="s">
        <v>38</v>
      </c>
      <c r="N258" t="str">
        <f t="shared" si="41"/>
        <v>Python</v>
      </c>
      <c r="O258" t="str">
        <f t="shared" si="42"/>
        <v>Python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tr">
        <f t="shared" si="43"/>
        <v>Better Salary</v>
      </c>
      <c r="Y258" t="str">
        <f t="shared" si="44"/>
        <v>Better Salary</v>
      </c>
      <c r="Z258" t="s">
        <v>69</v>
      </c>
      <c r="AA258">
        <v>33</v>
      </c>
      <c r="AB258" t="s">
        <v>42</v>
      </c>
      <c r="AC258" t="str">
        <f t="shared" si="45"/>
        <v>United States</v>
      </c>
      <c r="AD258" t="str">
        <f t="shared" si="46"/>
        <v>United States</v>
      </c>
      <c r="AE258" t="s">
        <v>241</v>
      </c>
      <c r="AF258" t="s">
        <v>43</v>
      </c>
      <c r="AG258" t="str">
        <f t="shared" ref="AG258:AG321" si="48">IF(ISNUMBER(SEARCH("other",AF258)),IF(TRIM(MID(AF258, FIND(")",AF258)+1, LEN(AF258)))="", "Other", TRIM(MID(AF258, FIND(":",AF258)+1, LEN(AF258)))),AF258)</f>
        <v>White or Caucasian</v>
      </c>
      <c r="AH258" t="str">
        <f t="shared" si="47"/>
        <v>White or Caucasian</v>
      </c>
    </row>
    <row r="259" spans="1:34" x14ac:dyDescent="0.25">
      <c r="A259" t="s">
        <v>835</v>
      </c>
      <c r="B259" t="s">
        <v>30</v>
      </c>
      <c r="C259" t="s">
        <v>836</v>
      </c>
      <c r="D259" t="s">
        <v>233</v>
      </c>
      <c r="E259" t="s">
        <v>34</v>
      </c>
      <c r="F259" t="str">
        <f t="shared" ref="F259:F322" si="49">IF(ISNUMBER(SEARCH("other",E259)),IF(TRIM(MID(E259, FIND(")",E259)+1, LEN(E259)))="", "Other", TRIM(MID(E259, FIND(":",E259)+1, LEN(E259)))),E259)</f>
        <v>Data Analyst</v>
      </c>
      <c r="G259" t="str">
        <f t="shared" ref="G259:G322" si="50">IF(COUNTIF(F:F,F259)&lt;5,"Others",F259)</f>
        <v>Data Analyst</v>
      </c>
      <c r="H259" t="s">
        <v>35</v>
      </c>
      <c r="I259" t="s">
        <v>98</v>
      </c>
      <c r="J259" t="s">
        <v>397</v>
      </c>
      <c r="K259" t="str">
        <f t="shared" ref="K259:K322" si="51">IF(ISNUMBER(SEARCH("other",J259)),IF(TRIM(MID(J259, FIND(")",J259)+1, LEN(J259)))="", "Other", TRIM(MID(J259, FIND(":",J259)+1, LEN(J259)))),J259)</f>
        <v>Consulting</v>
      </c>
      <c r="L259" t="str">
        <f t="shared" ref="L259:L322" si="52">IF(COUNTIF(K:K,K259)&lt;10,"Others",K259)</f>
        <v>Others</v>
      </c>
      <c r="M259" t="s">
        <v>837</v>
      </c>
      <c r="N259" t="str">
        <f t="shared" ref="N259:N322" si="53">IF(ISNUMBER(SEARCH("other",M259)),IF(TRIM(MID(M259, FIND("Other",M259)+1, LEN(M259)))="", "Other", TRIM(MID(M259, FIND(":",M259)+1, LEN(M259)))),M259)</f>
        <v>i mean, i mostly work in SQL and its variants?</v>
      </c>
      <c r="O259" t="str">
        <f t="shared" ref="O259:O322" si="54">IF(COUNTIF(N:N,N259)&lt;5,"Others",N259)</f>
        <v>Others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tr">
        <f t="shared" ref="X259:X322" si="55">IF(ISNUMBER(SEARCH("other",W259)),IF(TRIM(MID(W259, FIND(")",W259)+1, LEN(W259)))="", "Other", TRIM(MID(W259, FIND(":",W259)+1, LEN(W259)))),W259)</f>
        <v>Better Salary</v>
      </c>
      <c r="Y259" t="str">
        <f t="shared" ref="Y259:Y322" si="56">IF(COUNTIF(X:X,X259)&lt;5,"Others",X259)</f>
        <v>Better Salary</v>
      </c>
      <c r="Z259" t="s">
        <v>69</v>
      </c>
      <c r="AA259">
        <v>56</v>
      </c>
      <c r="AB259" t="s">
        <v>42</v>
      </c>
      <c r="AC259" t="str">
        <f t="shared" ref="AC259:AC322" si="57">IF(ISNUMBER(SEARCH("other",AB259)),IF(TRIM(MID(AB259, FIND(")",AB259)+1, LEN(AB259)))="", "Other", TRIM(MID(AB259, FIND(":",AB259)+1, LEN(AB259)))),AB259)</f>
        <v>United States</v>
      </c>
      <c r="AD259" t="str">
        <f t="shared" ref="AD259:AD322" si="58">IF(COUNTIF(AC:AC,AC259)&lt;5,"Others",AC259)</f>
        <v>United States</v>
      </c>
      <c r="AE259" t="s">
        <v>241</v>
      </c>
      <c r="AF259" t="s">
        <v>43</v>
      </c>
      <c r="AG259" t="str">
        <f t="shared" si="48"/>
        <v>White or Caucasian</v>
      </c>
      <c r="AH259" t="str">
        <f t="shared" ref="AH259:AH322" si="59">IF(COUNTIF(AG:AG,AG259)&lt;5,"Others",AG259)</f>
        <v>White or Caucasian</v>
      </c>
    </row>
    <row r="260" spans="1:34" x14ac:dyDescent="0.25">
      <c r="A260" t="s">
        <v>838</v>
      </c>
      <c r="B260" t="s">
        <v>30</v>
      </c>
      <c r="C260" t="s">
        <v>839</v>
      </c>
      <c r="D260" t="s">
        <v>840</v>
      </c>
      <c r="E260" t="s">
        <v>841</v>
      </c>
      <c r="F260" t="str">
        <f t="shared" si="49"/>
        <v>Software Developer</v>
      </c>
      <c r="G260" t="str">
        <f t="shared" si="50"/>
        <v>Others</v>
      </c>
      <c r="H260" t="s">
        <v>47</v>
      </c>
      <c r="I260" t="s">
        <v>57</v>
      </c>
      <c r="J260" t="s">
        <v>842</v>
      </c>
      <c r="K260" t="str">
        <f t="shared" si="51"/>
        <v>Insurance</v>
      </c>
      <c r="L260" t="str">
        <f t="shared" si="52"/>
        <v>Others</v>
      </c>
      <c r="M260" t="s">
        <v>38</v>
      </c>
      <c r="N260" t="str">
        <f t="shared" si="53"/>
        <v>Python</v>
      </c>
      <c r="O260" t="str">
        <f t="shared" si="54"/>
        <v>Python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tr">
        <f t="shared" si="55"/>
        <v>Good Work/Life Balance</v>
      </c>
      <c r="Y260" t="str">
        <f t="shared" si="56"/>
        <v>Good Work/Life Balance</v>
      </c>
      <c r="Z260" t="s">
        <v>41</v>
      </c>
      <c r="AA260">
        <v>23</v>
      </c>
      <c r="AB260" t="s">
        <v>151</v>
      </c>
      <c r="AC260" t="str">
        <f t="shared" si="57"/>
        <v>India</v>
      </c>
      <c r="AD260" t="str">
        <f t="shared" si="58"/>
        <v>India</v>
      </c>
      <c r="AE260" t="s">
        <v>241</v>
      </c>
      <c r="AF260" t="s">
        <v>52</v>
      </c>
      <c r="AG260" t="str">
        <f t="shared" si="48"/>
        <v>Asian or Asian American</v>
      </c>
      <c r="AH260" t="str">
        <f t="shared" si="59"/>
        <v>Asian or Asian American</v>
      </c>
    </row>
    <row r="261" spans="1:34" x14ac:dyDescent="0.25">
      <c r="A261" t="s">
        <v>843</v>
      </c>
      <c r="B261" t="s">
        <v>30</v>
      </c>
      <c r="C261" t="s">
        <v>844</v>
      </c>
      <c r="D261" t="s">
        <v>494</v>
      </c>
      <c r="E261" t="s">
        <v>81</v>
      </c>
      <c r="F261" t="str">
        <f t="shared" si="49"/>
        <v>Data Scientist</v>
      </c>
      <c r="G261" t="str">
        <f t="shared" si="50"/>
        <v>Data Scientist</v>
      </c>
      <c r="H261" t="s">
        <v>35</v>
      </c>
      <c r="I261" t="s">
        <v>86</v>
      </c>
      <c r="J261" t="s">
        <v>37</v>
      </c>
      <c r="K261" t="str">
        <f t="shared" si="51"/>
        <v>Healthcare</v>
      </c>
      <c r="L261" t="str">
        <f t="shared" si="52"/>
        <v>Healthcare</v>
      </c>
      <c r="M261" t="s">
        <v>38</v>
      </c>
      <c r="N261" t="str">
        <f t="shared" si="53"/>
        <v>Python</v>
      </c>
      <c r="O261" t="str">
        <f t="shared" si="54"/>
        <v>Python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tr">
        <f t="shared" si="55"/>
        <v>Better Salary</v>
      </c>
      <c r="Y261" t="str">
        <f t="shared" si="56"/>
        <v>Better Salary</v>
      </c>
      <c r="Z261" t="s">
        <v>41</v>
      </c>
      <c r="AA261">
        <v>28</v>
      </c>
      <c r="AB261" t="s">
        <v>42</v>
      </c>
      <c r="AC261" t="str">
        <f t="shared" si="57"/>
        <v>United States</v>
      </c>
      <c r="AD261" t="str">
        <f t="shared" si="58"/>
        <v>United States</v>
      </c>
      <c r="AE261" t="s">
        <v>244</v>
      </c>
      <c r="AF261" t="s">
        <v>43</v>
      </c>
      <c r="AG261" t="str">
        <f t="shared" si="48"/>
        <v>White or Caucasian</v>
      </c>
      <c r="AH261" t="str">
        <f t="shared" si="59"/>
        <v>White or Caucasian</v>
      </c>
    </row>
    <row r="262" spans="1:34" x14ac:dyDescent="0.25">
      <c r="A262" t="s">
        <v>845</v>
      </c>
      <c r="B262" t="s">
        <v>30</v>
      </c>
      <c r="C262" t="s">
        <v>846</v>
      </c>
      <c r="D262" t="s">
        <v>254</v>
      </c>
      <c r="E262" t="s">
        <v>127</v>
      </c>
      <c r="F262" t="str">
        <f t="shared" si="49"/>
        <v>Student/Looking/None</v>
      </c>
      <c r="G262" t="str">
        <f t="shared" si="50"/>
        <v>Student/Looking/None</v>
      </c>
      <c r="H262" t="s">
        <v>47</v>
      </c>
      <c r="I262" t="s">
        <v>57</v>
      </c>
      <c r="J262" t="s">
        <v>847</v>
      </c>
      <c r="K262" t="str">
        <f t="shared" si="51"/>
        <v>none</v>
      </c>
      <c r="L262" t="str">
        <f t="shared" si="52"/>
        <v>Others</v>
      </c>
      <c r="M262" t="s">
        <v>208</v>
      </c>
      <c r="N262" t="str">
        <f t="shared" si="53"/>
        <v>JavaScript</v>
      </c>
      <c r="O262" t="str">
        <f t="shared" si="54"/>
        <v>JavaScript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tr">
        <f t="shared" si="55"/>
        <v>Remote Work</v>
      </c>
      <c r="Y262" t="str">
        <f t="shared" si="56"/>
        <v>Remote Work</v>
      </c>
      <c r="Z262" t="s">
        <v>41</v>
      </c>
      <c r="AA262">
        <v>21</v>
      </c>
      <c r="AB262" t="s">
        <v>448</v>
      </c>
      <c r="AC262" t="str">
        <f t="shared" si="57"/>
        <v>Egypt</v>
      </c>
      <c r="AD262" t="str">
        <f t="shared" si="58"/>
        <v>Egypt</v>
      </c>
      <c r="AE262" t="s">
        <v>231</v>
      </c>
      <c r="AF262" t="s">
        <v>43</v>
      </c>
      <c r="AG262" t="str">
        <f t="shared" si="48"/>
        <v>White or Caucasian</v>
      </c>
      <c r="AH262" t="str">
        <f t="shared" si="59"/>
        <v>White or Caucasian</v>
      </c>
    </row>
    <row r="263" spans="1:34" x14ac:dyDescent="0.25">
      <c r="A263" t="s">
        <v>848</v>
      </c>
      <c r="B263" t="s">
        <v>30</v>
      </c>
      <c r="C263" t="s">
        <v>849</v>
      </c>
      <c r="D263" t="s">
        <v>147</v>
      </c>
      <c r="E263" t="s">
        <v>127</v>
      </c>
      <c r="F263" t="str">
        <f t="shared" si="49"/>
        <v>Student/Looking/None</v>
      </c>
      <c r="G263" t="str">
        <f t="shared" si="50"/>
        <v>Student/Looking/None</v>
      </c>
      <c r="H263" t="s">
        <v>47</v>
      </c>
      <c r="I263" t="s">
        <v>98</v>
      </c>
      <c r="J263" t="s">
        <v>850</v>
      </c>
      <c r="K263" t="str">
        <f t="shared" si="51"/>
        <v>Social work</v>
      </c>
      <c r="L263" t="str">
        <f t="shared" si="52"/>
        <v>Others</v>
      </c>
      <c r="M263" t="s">
        <v>38</v>
      </c>
      <c r="N263" t="str">
        <f t="shared" si="53"/>
        <v>Python</v>
      </c>
      <c r="O263" t="str">
        <f t="shared" si="54"/>
        <v>Python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tr">
        <f t="shared" si="55"/>
        <v>Good Work/Life Balance</v>
      </c>
      <c r="Y263" t="str">
        <f t="shared" si="56"/>
        <v>Good Work/Life Balance</v>
      </c>
      <c r="Z263" t="s">
        <v>41</v>
      </c>
      <c r="AA263">
        <v>35</v>
      </c>
      <c r="AB263" t="s">
        <v>42</v>
      </c>
      <c r="AC263" t="str">
        <f t="shared" si="57"/>
        <v>United States</v>
      </c>
      <c r="AD263" t="str">
        <f t="shared" si="58"/>
        <v>United States</v>
      </c>
      <c r="AE263" t="s">
        <v>244</v>
      </c>
      <c r="AF263" t="s">
        <v>62</v>
      </c>
      <c r="AG263" t="str">
        <f t="shared" si="48"/>
        <v>Black or African American</v>
      </c>
      <c r="AH263" t="str">
        <f t="shared" si="59"/>
        <v>Black or African American</v>
      </c>
    </row>
    <row r="264" spans="1:34" x14ac:dyDescent="0.25">
      <c r="A264" t="s">
        <v>851</v>
      </c>
      <c r="B264" t="s">
        <v>30</v>
      </c>
      <c r="C264" t="s">
        <v>849</v>
      </c>
      <c r="D264" t="s">
        <v>85</v>
      </c>
      <c r="E264" t="s">
        <v>34</v>
      </c>
      <c r="F264" t="str">
        <f t="shared" si="49"/>
        <v>Data Analyst</v>
      </c>
      <c r="G264" t="str">
        <f t="shared" si="50"/>
        <v>Data Analyst</v>
      </c>
      <c r="H264" t="s">
        <v>47</v>
      </c>
      <c r="I264" t="s">
        <v>48</v>
      </c>
      <c r="J264" t="s">
        <v>37</v>
      </c>
      <c r="K264" t="str">
        <f t="shared" si="51"/>
        <v>Healthcare</v>
      </c>
      <c r="L264" t="str">
        <f t="shared" si="52"/>
        <v>Healthcare</v>
      </c>
      <c r="M264" t="s">
        <v>38</v>
      </c>
      <c r="N264" t="str">
        <f t="shared" si="53"/>
        <v>Python</v>
      </c>
      <c r="O264" t="str">
        <f t="shared" si="54"/>
        <v>Python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tr">
        <f t="shared" si="55"/>
        <v>Remote Work</v>
      </c>
      <c r="Y264" t="str">
        <f t="shared" si="56"/>
        <v>Remote Work</v>
      </c>
      <c r="Z264" t="s">
        <v>41</v>
      </c>
      <c r="AA264">
        <v>29</v>
      </c>
      <c r="AB264" t="s">
        <v>852</v>
      </c>
      <c r="AC264" t="str">
        <f t="shared" si="57"/>
        <v>Irel</v>
      </c>
      <c r="AD264" t="str">
        <f t="shared" si="58"/>
        <v>Others</v>
      </c>
      <c r="AE264" t="s">
        <v>244</v>
      </c>
      <c r="AF264" t="s">
        <v>52</v>
      </c>
      <c r="AG264" t="str">
        <f t="shared" si="48"/>
        <v>Asian or Asian American</v>
      </c>
      <c r="AH264" t="str">
        <f t="shared" si="59"/>
        <v>Asian or Asian American</v>
      </c>
    </row>
    <row r="265" spans="1:34" x14ac:dyDescent="0.25">
      <c r="A265" t="s">
        <v>853</v>
      </c>
      <c r="B265" t="s">
        <v>30</v>
      </c>
      <c r="C265" t="s">
        <v>854</v>
      </c>
      <c r="D265" t="s">
        <v>243</v>
      </c>
      <c r="E265" t="s">
        <v>34</v>
      </c>
      <c r="F265" t="str">
        <f t="shared" si="49"/>
        <v>Data Analyst</v>
      </c>
      <c r="G265" t="str">
        <f t="shared" si="50"/>
        <v>Data Analyst</v>
      </c>
      <c r="H265" t="s">
        <v>47</v>
      </c>
      <c r="I265" t="s">
        <v>91</v>
      </c>
      <c r="J265" t="s">
        <v>107</v>
      </c>
      <c r="K265" t="str">
        <f t="shared" si="51"/>
        <v>Tech</v>
      </c>
      <c r="L265" t="str">
        <f t="shared" si="52"/>
        <v>Tech</v>
      </c>
      <c r="M265" t="s">
        <v>38</v>
      </c>
      <c r="N265" t="str">
        <f t="shared" si="53"/>
        <v>Python</v>
      </c>
      <c r="O265" t="str">
        <f t="shared" si="54"/>
        <v>Python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tr">
        <f t="shared" si="55"/>
        <v>Projects I’m interested in</v>
      </c>
      <c r="Y265" t="str">
        <f t="shared" si="56"/>
        <v>Others</v>
      </c>
      <c r="Z265" t="s">
        <v>69</v>
      </c>
      <c r="AA265">
        <v>23</v>
      </c>
      <c r="AB265" t="s">
        <v>42</v>
      </c>
      <c r="AC265" t="str">
        <f t="shared" si="57"/>
        <v>United States</v>
      </c>
      <c r="AD265" t="str">
        <f t="shared" si="58"/>
        <v>United States</v>
      </c>
      <c r="AE265" t="s">
        <v>241</v>
      </c>
      <c r="AF265" t="s">
        <v>52</v>
      </c>
      <c r="AG265" t="str">
        <f t="shared" si="48"/>
        <v>Asian or Asian American</v>
      </c>
      <c r="AH265" t="str">
        <f t="shared" si="59"/>
        <v>Asian or Asian American</v>
      </c>
    </row>
    <row r="266" spans="1:34" x14ac:dyDescent="0.25">
      <c r="A266" t="s">
        <v>856</v>
      </c>
      <c r="B266" t="s">
        <v>30</v>
      </c>
      <c r="C266" t="s">
        <v>857</v>
      </c>
      <c r="D266" t="s">
        <v>858</v>
      </c>
      <c r="E266" t="s">
        <v>859</v>
      </c>
      <c r="F266" t="str">
        <f t="shared" si="49"/>
        <v>Tableau admin</v>
      </c>
      <c r="G266" t="str">
        <f t="shared" si="50"/>
        <v>Others</v>
      </c>
      <c r="H266" t="s">
        <v>47</v>
      </c>
      <c r="I266" t="s">
        <v>48</v>
      </c>
      <c r="J266" t="s">
        <v>49</v>
      </c>
      <c r="K266" t="str">
        <f t="shared" si="51"/>
        <v>Finance</v>
      </c>
      <c r="L266" t="str">
        <f t="shared" si="52"/>
        <v>Finance</v>
      </c>
      <c r="M266" t="s">
        <v>38</v>
      </c>
      <c r="N266" t="str">
        <f t="shared" si="53"/>
        <v>Python</v>
      </c>
      <c r="O266" t="str">
        <f t="shared" si="54"/>
        <v>Python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tr">
        <f t="shared" si="55"/>
        <v>Good Work/Life Balance</v>
      </c>
      <c r="Y266" t="str">
        <f t="shared" si="56"/>
        <v>Good Work/Life Balance</v>
      </c>
      <c r="Z266" t="s">
        <v>41</v>
      </c>
      <c r="AA266">
        <v>25</v>
      </c>
      <c r="AB266" t="s">
        <v>151</v>
      </c>
      <c r="AC266" t="str">
        <f t="shared" si="57"/>
        <v>India</v>
      </c>
      <c r="AD266" t="str">
        <f t="shared" si="58"/>
        <v>India</v>
      </c>
      <c r="AE266" t="s">
        <v>241</v>
      </c>
      <c r="AF266" t="s">
        <v>52</v>
      </c>
      <c r="AG266" t="str">
        <f t="shared" si="48"/>
        <v>Asian or Asian American</v>
      </c>
      <c r="AH266" t="str">
        <f t="shared" si="59"/>
        <v>Asian or Asian American</v>
      </c>
    </row>
    <row r="267" spans="1:34" x14ac:dyDescent="0.25">
      <c r="A267" t="s">
        <v>860</v>
      </c>
      <c r="B267" t="s">
        <v>30</v>
      </c>
      <c r="C267" t="s">
        <v>861</v>
      </c>
      <c r="D267" t="s">
        <v>340</v>
      </c>
      <c r="E267" t="s">
        <v>56</v>
      </c>
      <c r="F267" t="str">
        <f t="shared" si="49"/>
        <v>Data Engineer</v>
      </c>
      <c r="G267" t="str">
        <f t="shared" si="50"/>
        <v>Data Engineer</v>
      </c>
      <c r="H267" t="s">
        <v>35</v>
      </c>
      <c r="I267" t="s">
        <v>91</v>
      </c>
      <c r="J267" t="s">
        <v>862</v>
      </c>
      <c r="K267" t="str">
        <f t="shared" si="51"/>
        <v>E-commerce</v>
      </c>
      <c r="L267" t="str">
        <f t="shared" si="52"/>
        <v>Others</v>
      </c>
      <c r="M267" t="s">
        <v>38</v>
      </c>
      <c r="N267" t="str">
        <f t="shared" si="53"/>
        <v>Python</v>
      </c>
      <c r="O267" t="str">
        <f t="shared" si="54"/>
        <v>Python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tr">
        <f t="shared" si="55"/>
        <v>Better Salary</v>
      </c>
      <c r="Y267" t="str">
        <f t="shared" si="56"/>
        <v>Better Salary</v>
      </c>
      <c r="Z267" t="s">
        <v>41</v>
      </c>
      <c r="AA267">
        <v>27</v>
      </c>
      <c r="AB267" t="s">
        <v>42</v>
      </c>
      <c r="AC267" t="str">
        <f t="shared" si="57"/>
        <v>United States</v>
      </c>
      <c r="AD267" t="str">
        <f t="shared" si="58"/>
        <v>United States</v>
      </c>
      <c r="AE267" t="s">
        <v>244</v>
      </c>
      <c r="AF267" t="s">
        <v>43</v>
      </c>
      <c r="AG267" t="str">
        <f t="shared" si="48"/>
        <v>White or Caucasian</v>
      </c>
      <c r="AH267" t="str">
        <f t="shared" si="59"/>
        <v>White or Caucasian</v>
      </c>
    </row>
    <row r="268" spans="1:34" x14ac:dyDescent="0.25">
      <c r="A268" t="s">
        <v>863</v>
      </c>
      <c r="B268" t="s">
        <v>30</v>
      </c>
      <c r="C268" t="s">
        <v>864</v>
      </c>
      <c r="D268" t="s">
        <v>735</v>
      </c>
      <c r="E268" t="s">
        <v>34</v>
      </c>
      <c r="F268" t="str">
        <f t="shared" si="49"/>
        <v>Data Analyst</v>
      </c>
      <c r="G268" t="str">
        <f t="shared" si="50"/>
        <v>Data Analyst</v>
      </c>
      <c r="H268" t="s">
        <v>47</v>
      </c>
      <c r="I268" t="s">
        <v>57</v>
      </c>
      <c r="J268" t="s">
        <v>107</v>
      </c>
      <c r="K268" t="str">
        <f t="shared" si="51"/>
        <v>Tech</v>
      </c>
      <c r="L268" t="str">
        <f t="shared" si="52"/>
        <v>Tech</v>
      </c>
      <c r="M268" t="s">
        <v>38</v>
      </c>
      <c r="N268" t="str">
        <f t="shared" si="53"/>
        <v>Python</v>
      </c>
      <c r="O268" t="str">
        <f t="shared" si="54"/>
        <v>Python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tr">
        <f t="shared" si="55"/>
        <v>Better Salary</v>
      </c>
      <c r="Y268" t="str">
        <f t="shared" si="56"/>
        <v>Better Salary</v>
      </c>
      <c r="Z268" t="s">
        <v>41</v>
      </c>
      <c r="AA268">
        <v>22</v>
      </c>
      <c r="AB268" t="s">
        <v>151</v>
      </c>
      <c r="AC268" t="str">
        <f t="shared" si="57"/>
        <v>India</v>
      </c>
      <c r="AD268" t="str">
        <f t="shared" si="58"/>
        <v>India</v>
      </c>
      <c r="AE268" t="s">
        <v>241</v>
      </c>
      <c r="AF268" t="s">
        <v>204</v>
      </c>
      <c r="AG268" t="str">
        <f t="shared" si="48"/>
        <v>Indian</v>
      </c>
      <c r="AH268" t="str">
        <f t="shared" si="59"/>
        <v>Indian</v>
      </c>
    </row>
    <row r="269" spans="1:34" x14ac:dyDescent="0.25">
      <c r="A269" t="s">
        <v>865</v>
      </c>
      <c r="B269" t="s">
        <v>30</v>
      </c>
      <c r="C269" t="s">
        <v>866</v>
      </c>
      <c r="D269" t="s">
        <v>375</v>
      </c>
      <c r="E269" t="s">
        <v>34</v>
      </c>
      <c r="F269" t="str">
        <f t="shared" si="49"/>
        <v>Data Analyst</v>
      </c>
      <c r="G269" t="str">
        <f t="shared" si="50"/>
        <v>Data Analyst</v>
      </c>
      <c r="H269" t="s">
        <v>35</v>
      </c>
      <c r="I269" t="s">
        <v>57</v>
      </c>
      <c r="J269" t="s">
        <v>867</v>
      </c>
      <c r="K269" t="str">
        <f t="shared" si="51"/>
        <v>IT</v>
      </c>
      <c r="L269" t="str">
        <f t="shared" si="52"/>
        <v>Others</v>
      </c>
      <c r="M269" t="s">
        <v>38</v>
      </c>
      <c r="N269" t="str">
        <f t="shared" si="53"/>
        <v>Python</v>
      </c>
      <c r="O269" t="str">
        <f t="shared" si="54"/>
        <v>Python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tr">
        <f t="shared" si="55"/>
        <v>Good Work/Life Balance</v>
      </c>
      <c r="Y269" t="str">
        <f t="shared" si="56"/>
        <v>Good Work/Life Balance</v>
      </c>
      <c r="Z269" t="s">
        <v>41</v>
      </c>
      <c r="AA269">
        <v>22</v>
      </c>
      <c r="AB269" t="s">
        <v>151</v>
      </c>
      <c r="AC269" t="str">
        <f t="shared" si="57"/>
        <v>India</v>
      </c>
      <c r="AD269" t="str">
        <f t="shared" si="58"/>
        <v>India</v>
      </c>
      <c r="AE269" t="s">
        <v>241</v>
      </c>
      <c r="AF269" t="s">
        <v>52</v>
      </c>
      <c r="AG269" t="str">
        <f t="shared" si="48"/>
        <v>Asian or Asian American</v>
      </c>
      <c r="AH269" t="str">
        <f t="shared" si="59"/>
        <v>Asian or Asian American</v>
      </c>
    </row>
    <row r="270" spans="1:34" x14ac:dyDescent="0.25">
      <c r="A270" t="s">
        <v>868</v>
      </c>
      <c r="B270" t="s">
        <v>30</v>
      </c>
      <c r="C270" t="s">
        <v>869</v>
      </c>
      <c r="D270" t="s">
        <v>337</v>
      </c>
      <c r="E270" t="s">
        <v>82</v>
      </c>
      <c r="F270" t="str">
        <f t="shared" si="49"/>
        <v>Other</v>
      </c>
      <c r="G270" t="str">
        <f t="shared" si="50"/>
        <v>Others</v>
      </c>
      <c r="H270" t="s">
        <v>47</v>
      </c>
      <c r="I270" t="s">
        <v>36</v>
      </c>
      <c r="J270" t="s">
        <v>82</v>
      </c>
      <c r="K270" t="str">
        <f t="shared" si="51"/>
        <v>Other</v>
      </c>
      <c r="L270" t="str">
        <f t="shared" si="52"/>
        <v>Others</v>
      </c>
      <c r="M270" t="s">
        <v>870</v>
      </c>
      <c r="N270" t="str">
        <f t="shared" si="53"/>
        <v>Java</v>
      </c>
      <c r="O270" t="str">
        <f t="shared" si="54"/>
        <v>Others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tr">
        <f t="shared" si="55"/>
        <v>Better Salary</v>
      </c>
      <c r="Y270" t="str">
        <f t="shared" si="56"/>
        <v>Better Salary</v>
      </c>
      <c r="Z270" t="s">
        <v>41</v>
      </c>
      <c r="AA270">
        <v>43</v>
      </c>
      <c r="AB270" t="s">
        <v>42</v>
      </c>
      <c r="AC270" t="str">
        <f t="shared" si="57"/>
        <v>United States</v>
      </c>
      <c r="AD270" t="str">
        <f t="shared" si="58"/>
        <v>United States</v>
      </c>
      <c r="AE270" t="s">
        <v>244</v>
      </c>
      <c r="AF270" t="s">
        <v>52</v>
      </c>
      <c r="AG270" t="str">
        <f t="shared" si="48"/>
        <v>Asian or Asian American</v>
      </c>
      <c r="AH270" t="str">
        <f t="shared" si="59"/>
        <v>Asian or Asian American</v>
      </c>
    </row>
    <row r="271" spans="1:34" x14ac:dyDescent="0.25">
      <c r="A271" t="s">
        <v>871</v>
      </c>
      <c r="B271" t="s">
        <v>30</v>
      </c>
      <c r="C271" t="s">
        <v>872</v>
      </c>
      <c r="D271" t="s">
        <v>873</v>
      </c>
      <c r="E271" t="s">
        <v>874</v>
      </c>
      <c r="F271" t="str">
        <f t="shared" si="49"/>
        <v>Reporting Adm</v>
      </c>
      <c r="G271" t="str">
        <f t="shared" si="50"/>
        <v>Others</v>
      </c>
      <c r="H271" t="s">
        <v>35</v>
      </c>
      <c r="I271" t="s">
        <v>57</v>
      </c>
      <c r="J271" t="s">
        <v>107</v>
      </c>
      <c r="K271" t="str">
        <f t="shared" si="51"/>
        <v>Tech</v>
      </c>
      <c r="L271" t="str">
        <f t="shared" si="52"/>
        <v>Tech</v>
      </c>
      <c r="M271" t="s">
        <v>38</v>
      </c>
      <c r="N271" t="str">
        <f t="shared" si="53"/>
        <v>Python</v>
      </c>
      <c r="O271" t="str">
        <f t="shared" si="54"/>
        <v>Python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tr">
        <f t="shared" si="55"/>
        <v>Better Salary</v>
      </c>
      <c r="Y271" t="str">
        <f t="shared" si="56"/>
        <v>Better Salary</v>
      </c>
      <c r="Z271" t="s">
        <v>69</v>
      </c>
      <c r="AA271">
        <v>32</v>
      </c>
      <c r="AB271" t="s">
        <v>42</v>
      </c>
      <c r="AC271" t="str">
        <f t="shared" si="57"/>
        <v>United States</v>
      </c>
      <c r="AD271" t="str">
        <f t="shared" si="58"/>
        <v>United States</v>
      </c>
      <c r="AE271" t="s">
        <v>241</v>
      </c>
      <c r="AF271" t="s">
        <v>52</v>
      </c>
      <c r="AG271" t="str">
        <f t="shared" si="48"/>
        <v>Asian or Asian American</v>
      </c>
      <c r="AH271" t="str">
        <f t="shared" si="59"/>
        <v>Asian or Asian American</v>
      </c>
    </row>
    <row r="272" spans="1:34" x14ac:dyDescent="0.25">
      <c r="A272" t="s">
        <v>875</v>
      </c>
      <c r="B272" t="s">
        <v>30</v>
      </c>
      <c r="C272" t="s">
        <v>876</v>
      </c>
      <c r="D272" t="s">
        <v>123</v>
      </c>
      <c r="E272" t="s">
        <v>127</v>
      </c>
      <c r="F272" t="str">
        <f t="shared" si="49"/>
        <v>Student/Looking/None</v>
      </c>
      <c r="G272" t="str">
        <f t="shared" si="50"/>
        <v>Student/Looking/None</v>
      </c>
      <c r="H272" t="s">
        <v>35</v>
      </c>
      <c r="I272" t="s">
        <v>98</v>
      </c>
      <c r="J272" t="s">
        <v>37</v>
      </c>
      <c r="K272" t="str">
        <f t="shared" si="51"/>
        <v>Healthcare</v>
      </c>
      <c r="L272" t="str">
        <f t="shared" si="52"/>
        <v>Healthcare</v>
      </c>
      <c r="M272" t="s">
        <v>380</v>
      </c>
      <c r="N272" t="s">
        <v>1829</v>
      </c>
      <c r="O272" t="str">
        <f t="shared" si="54"/>
        <v>Others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tr">
        <f t="shared" si="55"/>
        <v>Good Work/Life Balance</v>
      </c>
      <c r="Y272" t="str">
        <f t="shared" si="56"/>
        <v>Good Work/Life Balance</v>
      </c>
      <c r="Z272" t="s">
        <v>69</v>
      </c>
      <c r="AA272">
        <v>42</v>
      </c>
      <c r="AB272" t="s">
        <v>42</v>
      </c>
      <c r="AC272" t="str">
        <f t="shared" si="57"/>
        <v>United States</v>
      </c>
      <c r="AD272" t="str">
        <f t="shared" si="58"/>
        <v>United States</v>
      </c>
      <c r="AE272" t="s">
        <v>244</v>
      </c>
      <c r="AF272" t="s">
        <v>52</v>
      </c>
      <c r="AG272" t="str">
        <f t="shared" si="48"/>
        <v>Asian or Asian American</v>
      </c>
      <c r="AH272" t="str">
        <f t="shared" si="59"/>
        <v>Asian or Asian American</v>
      </c>
    </row>
    <row r="273" spans="1:34" x14ac:dyDescent="0.25">
      <c r="A273" t="s">
        <v>877</v>
      </c>
      <c r="B273" t="s">
        <v>30</v>
      </c>
      <c r="C273" t="s">
        <v>878</v>
      </c>
      <c r="D273" t="s">
        <v>686</v>
      </c>
      <c r="E273" t="s">
        <v>879</v>
      </c>
      <c r="F273" t="str">
        <f t="shared" si="49"/>
        <v>Billing analyst</v>
      </c>
      <c r="G273" t="str">
        <f t="shared" si="50"/>
        <v>Others</v>
      </c>
      <c r="H273" t="s">
        <v>47</v>
      </c>
      <c r="I273" t="s">
        <v>98</v>
      </c>
      <c r="J273" t="s">
        <v>880</v>
      </c>
      <c r="K273" t="str">
        <f t="shared" si="51"/>
        <v>Legal</v>
      </c>
      <c r="L273" t="str">
        <f t="shared" si="52"/>
        <v>Others</v>
      </c>
      <c r="M273" t="s">
        <v>38</v>
      </c>
      <c r="N273" t="str">
        <f t="shared" si="53"/>
        <v>Python</v>
      </c>
      <c r="O273" t="str">
        <f t="shared" si="54"/>
        <v>Python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tr">
        <f t="shared" si="55"/>
        <v>Remote Work</v>
      </c>
      <c r="Y273" t="str">
        <f t="shared" si="56"/>
        <v>Remote Work</v>
      </c>
      <c r="Z273" t="s">
        <v>41</v>
      </c>
      <c r="AA273">
        <v>31</v>
      </c>
      <c r="AB273" t="s">
        <v>42</v>
      </c>
      <c r="AC273" t="str">
        <f t="shared" si="57"/>
        <v>United States</v>
      </c>
      <c r="AD273" t="str">
        <f t="shared" si="58"/>
        <v>United States</v>
      </c>
      <c r="AE273" t="s">
        <v>241</v>
      </c>
      <c r="AF273" t="s">
        <v>95</v>
      </c>
      <c r="AG273" t="str">
        <f t="shared" si="48"/>
        <v>Hispanic or Latino</v>
      </c>
      <c r="AH273" t="str">
        <f t="shared" si="59"/>
        <v>Hispanic or Latino</v>
      </c>
    </row>
    <row r="274" spans="1:34" x14ac:dyDescent="0.25">
      <c r="A274" t="s">
        <v>881</v>
      </c>
      <c r="B274" t="s">
        <v>30</v>
      </c>
      <c r="C274" t="s">
        <v>882</v>
      </c>
      <c r="D274" t="s">
        <v>158</v>
      </c>
      <c r="E274" t="s">
        <v>56</v>
      </c>
      <c r="F274" t="str">
        <f t="shared" si="49"/>
        <v>Data Engineer</v>
      </c>
      <c r="G274" t="str">
        <f t="shared" si="50"/>
        <v>Data Engineer</v>
      </c>
      <c r="H274" t="s">
        <v>47</v>
      </c>
      <c r="I274" t="s">
        <v>57</v>
      </c>
      <c r="J274" t="s">
        <v>883</v>
      </c>
      <c r="K274" t="str">
        <f t="shared" si="51"/>
        <v>Media &amp; advertising</v>
      </c>
      <c r="L274" t="str">
        <f t="shared" si="52"/>
        <v>Others</v>
      </c>
      <c r="M274" t="s">
        <v>38</v>
      </c>
      <c r="N274" t="str">
        <f t="shared" si="53"/>
        <v>Python</v>
      </c>
      <c r="O274" t="str">
        <f t="shared" si="54"/>
        <v>Python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tr">
        <f t="shared" si="55"/>
        <v>Better Salary</v>
      </c>
      <c r="Y274" t="str">
        <f t="shared" si="56"/>
        <v>Better Salary</v>
      </c>
      <c r="Z274" t="s">
        <v>41</v>
      </c>
      <c r="AA274">
        <v>25</v>
      </c>
      <c r="AB274" t="s">
        <v>113</v>
      </c>
      <c r="AC274" t="str">
        <f t="shared" si="57"/>
        <v>United Kingdom</v>
      </c>
      <c r="AD274" t="str">
        <f t="shared" si="58"/>
        <v>United Kingdom</v>
      </c>
      <c r="AE274" t="s">
        <v>241</v>
      </c>
      <c r="AF274" t="s">
        <v>43</v>
      </c>
      <c r="AG274" t="str">
        <f t="shared" si="48"/>
        <v>White or Caucasian</v>
      </c>
      <c r="AH274" t="str">
        <f t="shared" si="59"/>
        <v>White or Caucasian</v>
      </c>
    </row>
    <row r="275" spans="1:34" x14ac:dyDescent="0.25">
      <c r="A275" t="s">
        <v>884</v>
      </c>
      <c r="B275" t="s">
        <v>30</v>
      </c>
      <c r="C275" t="s">
        <v>882</v>
      </c>
      <c r="D275" t="s">
        <v>885</v>
      </c>
      <c r="E275" t="s">
        <v>34</v>
      </c>
      <c r="F275" t="str">
        <f t="shared" si="49"/>
        <v>Data Analyst</v>
      </c>
      <c r="G275" t="str">
        <f t="shared" si="50"/>
        <v>Data Analyst</v>
      </c>
      <c r="H275" t="s">
        <v>47</v>
      </c>
      <c r="I275" t="s">
        <v>48</v>
      </c>
      <c r="J275" t="s">
        <v>798</v>
      </c>
      <c r="K275" t="str">
        <f t="shared" si="51"/>
        <v>Agriculture</v>
      </c>
      <c r="L275" t="str">
        <f t="shared" si="52"/>
        <v>Others</v>
      </c>
      <c r="M275" t="s">
        <v>88</v>
      </c>
      <c r="N275" t="str">
        <f t="shared" si="53"/>
        <v>SQL</v>
      </c>
      <c r="O275" t="str">
        <f t="shared" si="54"/>
        <v>SQL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tr">
        <f t="shared" si="55"/>
        <v>Better Salary</v>
      </c>
      <c r="Y275" t="str">
        <f t="shared" si="56"/>
        <v>Better Salary</v>
      </c>
      <c r="Z275" t="s">
        <v>69</v>
      </c>
      <c r="AA275">
        <v>25</v>
      </c>
      <c r="AB275" t="s">
        <v>42</v>
      </c>
      <c r="AC275" t="str">
        <f t="shared" si="57"/>
        <v>United States</v>
      </c>
      <c r="AD275" t="str">
        <f t="shared" si="58"/>
        <v>United States</v>
      </c>
      <c r="AE275" t="s">
        <v>244</v>
      </c>
      <c r="AF275" t="s">
        <v>52</v>
      </c>
      <c r="AG275" t="str">
        <f t="shared" si="48"/>
        <v>Asian or Asian American</v>
      </c>
      <c r="AH275" t="str">
        <f t="shared" si="59"/>
        <v>Asian or Asian American</v>
      </c>
    </row>
    <row r="276" spans="1:34" x14ac:dyDescent="0.25">
      <c r="A276" t="s">
        <v>886</v>
      </c>
      <c r="B276" t="s">
        <v>30</v>
      </c>
      <c r="C276" t="s">
        <v>882</v>
      </c>
      <c r="D276" t="s">
        <v>93</v>
      </c>
      <c r="E276" t="s">
        <v>34</v>
      </c>
      <c r="F276" t="str">
        <f t="shared" si="49"/>
        <v>Data Analyst</v>
      </c>
      <c r="G276" t="str">
        <f t="shared" si="50"/>
        <v>Data Analyst</v>
      </c>
      <c r="H276" t="s">
        <v>35</v>
      </c>
      <c r="I276" t="s">
        <v>36</v>
      </c>
      <c r="J276" t="s">
        <v>133</v>
      </c>
      <c r="K276" t="str">
        <f t="shared" si="51"/>
        <v>Aviation</v>
      </c>
      <c r="L276" t="str">
        <f t="shared" si="52"/>
        <v>Others</v>
      </c>
      <c r="M276" t="s">
        <v>887</v>
      </c>
      <c r="N276" t="str">
        <f t="shared" si="53"/>
        <v>SAS</v>
      </c>
      <c r="O276" t="str">
        <f t="shared" si="54"/>
        <v>Others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tr">
        <f t="shared" si="55"/>
        <v>Good Work/Life Balance</v>
      </c>
      <c r="Y276" t="str">
        <f t="shared" si="56"/>
        <v>Good Work/Life Balance</v>
      </c>
      <c r="Z276" t="s">
        <v>41</v>
      </c>
      <c r="AA276">
        <v>31</v>
      </c>
      <c r="AB276" t="s">
        <v>42</v>
      </c>
      <c r="AC276" t="str">
        <f t="shared" si="57"/>
        <v>United States</v>
      </c>
      <c r="AD276" t="str">
        <f t="shared" si="58"/>
        <v>United States</v>
      </c>
      <c r="AE276" t="s">
        <v>244</v>
      </c>
      <c r="AF276" t="s">
        <v>52</v>
      </c>
      <c r="AG276" t="str">
        <f t="shared" si="48"/>
        <v>Asian or Asian American</v>
      </c>
      <c r="AH276" t="str">
        <f t="shared" si="59"/>
        <v>Asian or Asian American</v>
      </c>
    </row>
    <row r="277" spans="1:34" x14ac:dyDescent="0.25">
      <c r="A277" t="s">
        <v>888</v>
      </c>
      <c r="B277" t="s">
        <v>30</v>
      </c>
      <c r="C277" t="s">
        <v>889</v>
      </c>
      <c r="D277" t="s">
        <v>135</v>
      </c>
      <c r="E277" t="s">
        <v>81</v>
      </c>
      <c r="F277" t="str">
        <f t="shared" si="49"/>
        <v>Data Scientist</v>
      </c>
      <c r="G277" t="str">
        <f t="shared" si="50"/>
        <v>Data Scientist</v>
      </c>
      <c r="H277" t="s">
        <v>35</v>
      </c>
      <c r="I277" t="s">
        <v>57</v>
      </c>
      <c r="J277" t="s">
        <v>112</v>
      </c>
      <c r="K277" t="str">
        <f t="shared" si="51"/>
        <v>Education</v>
      </c>
      <c r="L277" t="str">
        <f t="shared" si="52"/>
        <v>Education</v>
      </c>
      <c r="M277" t="s">
        <v>38</v>
      </c>
      <c r="N277" t="str">
        <f t="shared" si="53"/>
        <v>Python</v>
      </c>
      <c r="O277" t="str">
        <f t="shared" si="54"/>
        <v>Python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tr">
        <f t="shared" si="55"/>
        <v>Better Salary</v>
      </c>
      <c r="Y277" t="str">
        <f t="shared" si="56"/>
        <v>Better Salary</v>
      </c>
      <c r="Z277" t="s">
        <v>41</v>
      </c>
      <c r="AA277">
        <v>36</v>
      </c>
      <c r="AB277" t="s">
        <v>890</v>
      </c>
      <c r="AC277" t="str">
        <f t="shared" si="57"/>
        <v>Morocco</v>
      </c>
      <c r="AD277" t="str">
        <f t="shared" si="58"/>
        <v>Others</v>
      </c>
      <c r="AE277" t="s">
        <v>244</v>
      </c>
      <c r="AF277" t="s">
        <v>43</v>
      </c>
      <c r="AG277" t="str">
        <f t="shared" si="48"/>
        <v>White or Caucasian</v>
      </c>
      <c r="AH277" t="str">
        <f t="shared" si="59"/>
        <v>White or Caucasian</v>
      </c>
    </row>
    <row r="278" spans="1:34" x14ac:dyDescent="0.25">
      <c r="A278" t="s">
        <v>891</v>
      </c>
      <c r="B278" t="s">
        <v>30</v>
      </c>
      <c r="C278" t="s">
        <v>892</v>
      </c>
      <c r="D278" t="s">
        <v>474</v>
      </c>
      <c r="E278" t="s">
        <v>893</v>
      </c>
      <c r="F278" t="str">
        <f t="shared" si="49"/>
        <v>I work with data tools and can create simple dashboards but I am not a data scientist</v>
      </c>
      <c r="G278" t="str">
        <f t="shared" si="50"/>
        <v>Others</v>
      </c>
      <c r="H278" t="s">
        <v>47</v>
      </c>
      <c r="I278" t="s">
        <v>48</v>
      </c>
      <c r="J278" t="s">
        <v>37</v>
      </c>
      <c r="K278" t="str">
        <f t="shared" si="51"/>
        <v>Healthcare</v>
      </c>
      <c r="L278" t="str">
        <f t="shared" si="52"/>
        <v>Healthcare</v>
      </c>
      <c r="M278" t="s">
        <v>38</v>
      </c>
      <c r="N278" t="str">
        <f t="shared" si="53"/>
        <v>Python</v>
      </c>
      <c r="O278" t="str">
        <f t="shared" si="54"/>
        <v>Python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tr">
        <f t="shared" si="55"/>
        <v>Good Work/Life Balance</v>
      </c>
      <c r="Y278" t="str">
        <f t="shared" si="56"/>
        <v>Good Work/Life Balance</v>
      </c>
      <c r="Z278" t="s">
        <v>69</v>
      </c>
      <c r="AA278">
        <v>35</v>
      </c>
      <c r="AB278" t="s">
        <v>275</v>
      </c>
      <c r="AC278" t="str">
        <f t="shared" si="57"/>
        <v>Bulgaria</v>
      </c>
      <c r="AD278" t="str">
        <f t="shared" si="58"/>
        <v>Others</v>
      </c>
      <c r="AE278" t="s">
        <v>244</v>
      </c>
      <c r="AF278" t="s">
        <v>43</v>
      </c>
      <c r="AG278" t="str">
        <f t="shared" si="48"/>
        <v>White or Caucasian</v>
      </c>
      <c r="AH278" t="str">
        <f t="shared" si="59"/>
        <v>White or Caucasian</v>
      </c>
    </row>
    <row r="279" spans="1:34" x14ac:dyDescent="0.25">
      <c r="A279" t="s">
        <v>894</v>
      </c>
      <c r="B279" t="s">
        <v>30</v>
      </c>
      <c r="C279" t="s">
        <v>895</v>
      </c>
      <c r="D279" t="s">
        <v>686</v>
      </c>
      <c r="E279" t="s">
        <v>34</v>
      </c>
      <c r="F279" t="str">
        <f t="shared" si="49"/>
        <v>Data Analyst</v>
      </c>
      <c r="G279" t="str">
        <f t="shared" si="50"/>
        <v>Data Analyst</v>
      </c>
      <c r="H279" t="s">
        <v>35</v>
      </c>
      <c r="I279" t="s">
        <v>98</v>
      </c>
      <c r="J279" t="s">
        <v>896</v>
      </c>
      <c r="K279" t="str">
        <f t="shared" si="51"/>
        <v>Utilities</v>
      </c>
      <c r="L279" t="str">
        <f t="shared" si="52"/>
        <v>Others</v>
      </c>
      <c r="M279" t="s">
        <v>50</v>
      </c>
      <c r="N279" t="str">
        <f t="shared" si="53"/>
        <v>R</v>
      </c>
      <c r="O279" t="str">
        <f t="shared" si="54"/>
        <v>R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tr">
        <f t="shared" si="55"/>
        <v>Remote Work</v>
      </c>
      <c r="Y279" t="str">
        <f t="shared" si="56"/>
        <v>Remote Work</v>
      </c>
      <c r="Z279" t="s">
        <v>41</v>
      </c>
      <c r="AA279">
        <v>28</v>
      </c>
      <c r="AB279" t="s">
        <v>42</v>
      </c>
      <c r="AC279" t="str">
        <f t="shared" si="57"/>
        <v>United States</v>
      </c>
      <c r="AD279" t="str">
        <f t="shared" si="58"/>
        <v>United States</v>
      </c>
      <c r="AE279" t="s">
        <v>241</v>
      </c>
      <c r="AF279" t="s">
        <v>43</v>
      </c>
      <c r="AG279" t="str">
        <f t="shared" si="48"/>
        <v>White or Caucasian</v>
      </c>
      <c r="AH279" t="str">
        <f t="shared" si="59"/>
        <v>White or Caucasian</v>
      </c>
    </row>
    <row r="280" spans="1:34" x14ac:dyDescent="0.25">
      <c r="A280" t="s">
        <v>897</v>
      </c>
      <c r="B280" t="s">
        <v>30</v>
      </c>
      <c r="C280" t="s">
        <v>898</v>
      </c>
      <c r="D280" t="s">
        <v>410</v>
      </c>
      <c r="E280" t="s">
        <v>34</v>
      </c>
      <c r="F280" t="str">
        <f t="shared" si="49"/>
        <v>Data Analyst</v>
      </c>
      <c r="G280" t="str">
        <f t="shared" si="50"/>
        <v>Data Analyst</v>
      </c>
      <c r="H280" t="s">
        <v>47</v>
      </c>
      <c r="I280" t="s">
        <v>57</v>
      </c>
      <c r="J280" t="s">
        <v>899</v>
      </c>
      <c r="K280" t="str">
        <f t="shared" si="51"/>
        <v>Audit Firm</v>
      </c>
      <c r="L280" t="str">
        <f t="shared" si="52"/>
        <v>Others</v>
      </c>
      <c r="M280" t="s">
        <v>38</v>
      </c>
      <c r="N280" t="str">
        <f t="shared" si="53"/>
        <v>Python</v>
      </c>
      <c r="O280" t="str">
        <f t="shared" si="54"/>
        <v>Python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tr">
        <f t="shared" si="55"/>
        <v>Better Salary</v>
      </c>
      <c r="Y280" t="str">
        <f t="shared" si="56"/>
        <v>Better Salary</v>
      </c>
      <c r="Z280" t="s">
        <v>41</v>
      </c>
      <c r="AA280">
        <v>27</v>
      </c>
      <c r="AB280" t="s">
        <v>732</v>
      </c>
      <c r="AC280" t="str">
        <f t="shared" si="57"/>
        <v>Peru</v>
      </c>
      <c r="AD280" t="str">
        <f t="shared" si="58"/>
        <v>Others</v>
      </c>
      <c r="AE280" t="s">
        <v>241</v>
      </c>
      <c r="AF280" t="s">
        <v>95</v>
      </c>
      <c r="AG280" t="str">
        <f t="shared" si="48"/>
        <v>Hispanic or Latino</v>
      </c>
      <c r="AH280" t="str">
        <f t="shared" si="59"/>
        <v>Hispanic or Latino</v>
      </c>
    </row>
    <row r="281" spans="1:34" x14ac:dyDescent="0.25">
      <c r="A281" t="s">
        <v>900</v>
      </c>
      <c r="B281" t="s">
        <v>30</v>
      </c>
      <c r="C281" t="s">
        <v>901</v>
      </c>
      <c r="D281" t="s">
        <v>135</v>
      </c>
      <c r="E281" t="s">
        <v>34</v>
      </c>
      <c r="F281" t="str">
        <f t="shared" si="49"/>
        <v>Data Analyst</v>
      </c>
      <c r="G281" t="str">
        <f t="shared" si="50"/>
        <v>Data Analyst</v>
      </c>
      <c r="H281" t="s">
        <v>35</v>
      </c>
      <c r="I281" t="s">
        <v>57</v>
      </c>
      <c r="J281" t="s">
        <v>902</v>
      </c>
      <c r="K281" t="str">
        <f t="shared" si="51"/>
        <v>Sports</v>
      </c>
      <c r="L281" t="str">
        <f t="shared" si="52"/>
        <v>Others</v>
      </c>
      <c r="M281" t="s">
        <v>38</v>
      </c>
      <c r="N281" t="str">
        <f t="shared" si="53"/>
        <v>Python</v>
      </c>
      <c r="O281" t="str">
        <f t="shared" si="54"/>
        <v>Python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tr">
        <f t="shared" si="55"/>
        <v>Good Work/Life Balance</v>
      </c>
      <c r="Y281" t="str">
        <f t="shared" si="56"/>
        <v>Good Work/Life Balance</v>
      </c>
      <c r="Z281" t="s">
        <v>41</v>
      </c>
      <c r="AA281">
        <v>25</v>
      </c>
      <c r="AB281" t="s">
        <v>903</v>
      </c>
      <c r="AC281" t="str">
        <f t="shared" si="57"/>
        <v>Costa Rica</v>
      </c>
      <c r="AD281" t="str">
        <f t="shared" si="58"/>
        <v>Costa Rica</v>
      </c>
      <c r="AE281" t="s">
        <v>241</v>
      </c>
      <c r="AF281" t="s">
        <v>95</v>
      </c>
      <c r="AG281" t="str">
        <f t="shared" si="48"/>
        <v>Hispanic or Latino</v>
      </c>
      <c r="AH281" t="str">
        <f t="shared" si="59"/>
        <v>Hispanic or Latino</v>
      </c>
    </row>
    <row r="282" spans="1:34" x14ac:dyDescent="0.25">
      <c r="A282" t="s">
        <v>904</v>
      </c>
      <c r="B282" t="s">
        <v>30</v>
      </c>
      <c r="C282" t="s">
        <v>905</v>
      </c>
      <c r="D282" t="s">
        <v>238</v>
      </c>
      <c r="E282" t="s">
        <v>34</v>
      </c>
      <c r="F282" t="str">
        <f t="shared" si="49"/>
        <v>Data Analyst</v>
      </c>
      <c r="G282" t="str">
        <f t="shared" si="50"/>
        <v>Data Analyst</v>
      </c>
      <c r="H282" t="s">
        <v>47</v>
      </c>
      <c r="I282" t="s">
        <v>57</v>
      </c>
      <c r="J282" t="s">
        <v>862</v>
      </c>
      <c r="K282" t="str">
        <f t="shared" si="51"/>
        <v>E-commerce</v>
      </c>
      <c r="L282" t="str">
        <f t="shared" si="52"/>
        <v>Others</v>
      </c>
      <c r="M282" t="s">
        <v>38</v>
      </c>
      <c r="N282" t="str">
        <f t="shared" si="53"/>
        <v>Python</v>
      </c>
      <c r="O282" t="str">
        <f t="shared" si="54"/>
        <v>Python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tr">
        <f t="shared" si="55"/>
        <v>Better Salary</v>
      </c>
      <c r="Y282" t="str">
        <f t="shared" si="56"/>
        <v>Better Salary</v>
      </c>
      <c r="Z282" t="s">
        <v>41</v>
      </c>
      <c r="AA282">
        <v>25</v>
      </c>
      <c r="AB282" t="s">
        <v>504</v>
      </c>
      <c r="AC282" t="str">
        <f t="shared" si="57"/>
        <v>Poland</v>
      </c>
      <c r="AD282" t="str">
        <f t="shared" si="58"/>
        <v>Poland</v>
      </c>
      <c r="AE282" t="s">
        <v>241</v>
      </c>
      <c r="AF282" t="s">
        <v>43</v>
      </c>
      <c r="AG282" t="str">
        <f t="shared" si="48"/>
        <v>White or Caucasian</v>
      </c>
      <c r="AH282" t="str">
        <f t="shared" si="59"/>
        <v>White or Caucasian</v>
      </c>
    </row>
    <row r="283" spans="1:34" x14ac:dyDescent="0.25">
      <c r="A283" t="s">
        <v>906</v>
      </c>
      <c r="B283" t="s">
        <v>30</v>
      </c>
      <c r="C283" t="s">
        <v>907</v>
      </c>
      <c r="D283" t="s">
        <v>396</v>
      </c>
      <c r="E283" t="s">
        <v>908</v>
      </c>
      <c r="F283" t="str">
        <f t="shared" si="49"/>
        <v>Marketing Data Specialist</v>
      </c>
      <c r="G283" t="str">
        <f t="shared" si="50"/>
        <v>Others</v>
      </c>
      <c r="H283" t="s">
        <v>47</v>
      </c>
      <c r="I283" t="s">
        <v>48</v>
      </c>
      <c r="J283" t="s">
        <v>909</v>
      </c>
      <c r="K283" t="str">
        <f t="shared" si="51"/>
        <v>Sports/Marketing</v>
      </c>
      <c r="L283" t="str">
        <f t="shared" si="52"/>
        <v>Others</v>
      </c>
      <c r="M283" t="s">
        <v>50</v>
      </c>
      <c r="N283" t="str">
        <f t="shared" si="53"/>
        <v>R</v>
      </c>
      <c r="O283" t="str">
        <f t="shared" si="54"/>
        <v>R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tr">
        <f t="shared" si="55"/>
        <v>Good Work/Life Balance</v>
      </c>
      <c r="Y283" t="str">
        <f t="shared" si="56"/>
        <v>Good Work/Life Balance</v>
      </c>
      <c r="Z283" t="s">
        <v>41</v>
      </c>
      <c r="AA283">
        <v>22</v>
      </c>
      <c r="AB283" t="s">
        <v>42</v>
      </c>
      <c r="AC283" t="str">
        <f t="shared" si="57"/>
        <v>United States</v>
      </c>
      <c r="AD283" t="str">
        <f t="shared" si="58"/>
        <v>United States</v>
      </c>
      <c r="AE283" t="s">
        <v>244</v>
      </c>
      <c r="AF283" t="s">
        <v>43</v>
      </c>
      <c r="AG283" t="str">
        <f t="shared" si="48"/>
        <v>White or Caucasian</v>
      </c>
      <c r="AH283" t="str">
        <f t="shared" si="59"/>
        <v>White or Caucasian</v>
      </c>
    </row>
    <row r="284" spans="1:34" x14ac:dyDescent="0.25">
      <c r="A284" t="s">
        <v>910</v>
      </c>
      <c r="B284" t="s">
        <v>30</v>
      </c>
      <c r="C284" t="s">
        <v>911</v>
      </c>
      <c r="D284" t="s">
        <v>912</v>
      </c>
      <c r="E284" t="s">
        <v>34</v>
      </c>
      <c r="F284" t="str">
        <f t="shared" si="49"/>
        <v>Data Analyst</v>
      </c>
      <c r="G284" t="str">
        <f t="shared" si="50"/>
        <v>Data Analyst</v>
      </c>
      <c r="H284" t="s">
        <v>35</v>
      </c>
      <c r="I284" t="s">
        <v>48</v>
      </c>
      <c r="J284" t="s">
        <v>37</v>
      </c>
      <c r="K284" t="str">
        <f t="shared" si="51"/>
        <v>Healthcare</v>
      </c>
      <c r="L284" t="str">
        <f t="shared" si="52"/>
        <v>Healthcare</v>
      </c>
      <c r="M284" t="s">
        <v>678</v>
      </c>
      <c r="N284" t="str">
        <f t="shared" si="53"/>
        <v>None</v>
      </c>
      <c r="O284" t="str">
        <f t="shared" si="54"/>
        <v>None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tr">
        <f t="shared" si="55"/>
        <v>Good Culture</v>
      </c>
      <c r="Y284" t="str">
        <f t="shared" si="56"/>
        <v>Good Culture</v>
      </c>
      <c r="Z284" t="s">
        <v>41</v>
      </c>
      <c r="AA284">
        <v>38</v>
      </c>
      <c r="AB284" t="s">
        <v>271</v>
      </c>
      <c r="AC284" t="str">
        <f t="shared" si="57"/>
        <v>Germany</v>
      </c>
      <c r="AD284" t="str">
        <f t="shared" si="58"/>
        <v>Germany</v>
      </c>
      <c r="AE284" t="s">
        <v>231</v>
      </c>
      <c r="AF284" t="s">
        <v>43</v>
      </c>
      <c r="AG284" t="str">
        <f t="shared" si="48"/>
        <v>White or Caucasian</v>
      </c>
      <c r="AH284" t="str">
        <f t="shared" si="59"/>
        <v>White or Caucasian</v>
      </c>
    </row>
    <row r="285" spans="1:34" x14ac:dyDescent="0.25">
      <c r="A285" t="s">
        <v>913</v>
      </c>
      <c r="B285" t="s">
        <v>30</v>
      </c>
      <c r="C285" t="s">
        <v>914</v>
      </c>
      <c r="D285" t="s">
        <v>145</v>
      </c>
      <c r="E285" t="s">
        <v>34</v>
      </c>
      <c r="F285" t="str">
        <f t="shared" si="49"/>
        <v>Data Analyst</v>
      </c>
      <c r="G285" t="str">
        <f t="shared" si="50"/>
        <v>Data Analyst</v>
      </c>
      <c r="H285" t="s">
        <v>35</v>
      </c>
      <c r="I285" t="s">
        <v>57</v>
      </c>
      <c r="J285" t="s">
        <v>112</v>
      </c>
      <c r="K285" t="str">
        <f t="shared" si="51"/>
        <v>Education</v>
      </c>
      <c r="L285" t="str">
        <f t="shared" si="52"/>
        <v>Education</v>
      </c>
      <c r="M285" t="s">
        <v>38</v>
      </c>
      <c r="N285" t="str">
        <f t="shared" si="53"/>
        <v>Python</v>
      </c>
      <c r="O285" t="str">
        <f t="shared" si="54"/>
        <v>Python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tr">
        <f t="shared" si="55"/>
        <v>Good Culture</v>
      </c>
      <c r="Y285" t="str">
        <f t="shared" si="56"/>
        <v>Good Culture</v>
      </c>
      <c r="Z285" t="s">
        <v>41</v>
      </c>
      <c r="AA285">
        <v>27</v>
      </c>
      <c r="AB285" t="s">
        <v>136</v>
      </c>
      <c r="AC285" t="str">
        <f t="shared" si="57"/>
        <v>Kenya</v>
      </c>
      <c r="AD285" t="str">
        <f t="shared" si="58"/>
        <v>Kenya</v>
      </c>
      <c r="AE285" t="s">
        <v>241</v>
      </c>
      <c r="AF285" t="s">
        <v>62</v>
      </c>
      <c r="AG285" t="str">
        <f t="shared" si="48"/>
        <v>Black or African American</v>
      </c>
      <c r="AH285" t="str">
        <f t="shared" si="59"/>
        <v>Black or African American</v>
      </c>
    </row>
    <row r="286" spans="1:34" x14ac:dyDescent="0.25">
      <c r="A286" t="s">
        <v>915</v>
      </c>
      <c r="B286" t="s">
        <v>30</v>
      </c>
      <c r="C286" t="s">
        <v>916</v>
      </c>
      <c r="D286" t="s">
        <v>917</v>
      </c>
      <c r="E286" t="s">
        <v>34</v>
      </c>
      <c r="F286" t="str">
        <f t="shared" si="49"/>
        <v>Data Analyst</v>
      </c>
      <c r="G286" t="str">
        <f t="shared" si="50"/>
        <v>Data Analyst</v>
      </c>
      <c r="H286" t="s">
        <v>35</v>
      </c>
      <c r="I286" t="s">
        <v>91</v>
      </c>
      <c r="J286" t="s">
        <v>397</v>
      </c>
      <c r="K286" t="str">
        <f t="shared" si="51"/>
        <v>Consulting</v>
      </c>
      <c r="L286" t="str">
        <f t="shared" si="52"/>
        <v>Others</v>
      </c>
      <c r="M286" t="s">
        <v>918</v>
      </c>
      <c r="N286" t="str">
        <f t="shared" si="53"/>
        <v>NA</v>
      </c>
      <c r="O286" t="str">
        <f t="shared" si="54"/>
        <v>Others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tr">
        <f t="shared" si="55"/>
        <v>Remote Work</v>
      </c>
      <c r="Y286" t="str">
        <f t="shared" si="56"/>
        <v>Remote Work</v>
      </c>
      <c r="Z286" t="s">
        <v>69</v>
      </c>
      <c r="AA286">
        <v>34</v>
      </c>
      <c r="AB286" t="s">
        <v>51</v>
      </c>
      <c r="AC286" t="str">
        <f t="shared" si="57"/>
        <v>Canada</v>
      </c>
      <c r="AD286" t="str">
        <f t="shared" si="58"/>
        <v>Canada</v>
      </c>
      <c r="AE286" t="s">
        <v>241</v>
      </c>
      <c r="AF286" t="s">
        <v>62</v>
      </c>
      <c r="AG286" t="str">
        <f t="shared" si="48"/>
        <v>Black or African American</v>
      </c>
      <c r="AH286" t="str">
        <f t="shared" si="59"/>
        <v>Black or African American</v>
      </c>
    </row>
    <row r="287" spans="1:34" x14ac:dyDescent="0.25">
      <c r="A287" t="s">
        <v>919</v>
      </c>
      <c r="B287" t="s">
        <v>30</v>
      </c>
      <c r="C287" t="s">
        <v>920</v>
      </c>
      <c r="D287" t="s">
        <v>379</v>
      </c>
      <c r="E287" t="s">
        <v>34</v>
      </c>
      <c r="F287" t="str">
        <f t="shared" si="49"/>
        <v>Data Analyst</v>
      </c>
      <c r="G287" t="str">
        <f t="shared" si="50"/>
        <v>Data Analyst</v>
      </c>
      <c r="H287" t="s">
        <v>35</v>
      </c>
      <c r="I287" t="s">
        <v>98</v>
      </c>
      <c r="J287" t="s">
        <v>921</v>
      </c>
      <c r="K287" t="str">
        <f t="shared" si="51"/>
        <v>Nonprofit</v>
      </c>
      <c r="L287" t="str">
        <f t="shared" si="52"/>
        <v>Others</v>
      </c>
      <c r="M287" t="s">
        <v>38</v>
      </c>
      <c r="N287" t="str">
        <f t="shared" si="53"/>
        <v>Python</v>
      </c>
      <c r="O287" t="str">
        <f t="shared" si="54"/>
        <v>Python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tr">
        <f t="shared" si="55"/>
        <v>Better Salary</v>
      </c>
      <c r="Y287" t="str">
        <f t="shared" si="56"/>
        <v>Better Salary</v>
      </c>
      <c r="Z287" t="s">
        <v>69</v>
      </c>
      <c r="AA287">
        <v>31</v>
      </c>
      <c r="AB287" t="s">
        <v>42</v>
      </c>
      <c r="AC287" t="str">
        <f t="shared" si="57"/>
        <v>United States</v>
      </c>
      <c r="AD287" t="str">
        <f t="shared" si="58"/>
        <v>United States</v>
      </c>
      <c r="AE287" t="s">
        <v>241</v>
      </c>
      <c r="AF287" t="s">
        <v>43</v>
      </c>
      <c r="AG287" t="str">
        <f t="shared" si="48"/>
        <v>White or Caucasian</v>
      </c>
      <c r="AH287" t="str">
        <f t="shared" si="59"/>
        <v>White or Caucasian</v>
      </c>
    </row>
    <row r="288" spans="1:34" x14ac:dyDescent="0.25">
      <c r="A288" t="s">
        <v>922</v>
      </c>
      <c r="B288" t="s">
        <v>30</v>
      </c>
      <c r="C288" t="s">
        <v>923</v>
      </c>
      <c r="D288" t="s">
        <v>924</v>
      </c>
      <c r="E288" t="s">
        <v>34</v>
      </c>
      <c r="F288" t="str">
        <f t="shared" si="49"/>
        <v>Data Analyst</v>
      </c>
      <c r="G288" t="str">
        <f t="shared" si="50"/>
        <v>Data Analyst</v>
      </c>
      <c r="H288" t="s">
        <v>35</v>
      </c>
      <c r="I288" t="s">
        <v>48</v>
      </c>
      <c r="J288" t="s">
        <v>107</v>
      </c>
      <c r="K288" t="str">
        <f t="shared" si="51"/>
        <v>Tech</v>
      </c>
      <c r="L288" t="str">
        <f t="shared" si="52"/>
        <v>Tech</v>
      </c>
      <c r="M288" t="s">
        <v>38</v>
      </c>
      <c r="N288" t="str">
        <f t="shared" si="53"/>
        <v>Python</v>
      </c>
      <c r="O288" t="str">
        <f t="shared" si="54"/>
        <v>Python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tr">
        <f t="shared" si="55"/>
        <v>Better Salary</v>
      </c>
      <c r="Y288" t="str">
        <f t="shared" si="56"/>
        <v>Better Salary</v>
      </c>
      <c r="Z288" t="s">
        <v>69</v>
      </c>
      <c r="AA288">
        <v>33</v>
      </c>
      <c r="AB288" t="s">
        <v>51</v>
      </c>
      <c r="AC288" t="str">
        <f t="shared" si="57"/>
        <v>Canada</v>
      </c>
      <c r="AD288" t="str">
        <f t="shared" si="58"/>
        <v>Canada</v>
      </c>
      <c r="AE288" t="s">
        <v>244</v>
      </c>
      <c r="AF288" t="s">
        <v>62</v>
      </c>
      <c r="AG288" t="str">
        <f t="shared" si="48"/>
        <v>Black or African American</v>
      </c>
      <c r="AH288" t="str">
        <f t="shared" si="59"/>
        <v>Black or African American</v>
      </c>
    </row>
    <row r="289" spans="1:34" x14ac:dyDescent="0.25">
      <c r="A289" t="s">
        <v>925</v>
      </c>
      <c r="B289" t="s">
        <v>30</v>
      </c>
      <c r="C289" t="s">
        <v>926</v>
      </c>
      <c r="D289" t="s">
        <v>704</v>
      </c>
      <c r="E289" t="s">
        <v>127</v>
      </c>
      <c r="F289" t="str">
        <f t="shared" si="49"/>
        <v>Student/Looking/None</v>
      </c>
      <c r="G289" t="str">
        <f t="shared" si="50"/>
        <v>Student/Looking/None</v>
      </c>
      <c r="H289" t="s">
        <v>35</v>
      </c>
      <c r="I289" t="s">
        <v>57</v>
      </c>
      <c r="J289" t="s">
        <v>107</v>
      </c>
      <c r="K289" t="str">
        <f t="shared" si="51"/>
        <v>Tech</v>
      </c>
      <c r="L289" t="str">
        <f t="shared" si="52"/>
        <v>Tech</v>
      </c>
      <c r="M289" t="s">
        <v>38</v>
      </c>
      <c r="N289" t="str">
        <f t="shared" si="53"/>
        <v>Python</v>
      </c>
      <c r="O289" t="str">
        <f t="shared" si="54"/>
        <v>Python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tr">
        <f t="shared" si="55"/>
        <v>Remote Work</v>
      </c>
      <c r="Y289" t="str">
        <f t="shared" si="56"/>
        <v>Remote Work</v>
      </c>
      <c r="Z289" t="s">
        <v>41</v>
      </c>
      <c r="AA289">
        <v>23</v>
      </c>
      <c r="AB289" t="s">
        <v>42</v>
      </c>
      <c r="AC289" t="str">
        <f t="shared" si="57"/>
        <v>United States</v>
      </c>
      <c r="AD289" t="str">
        <f t="shared" si="58"/>
        <v>United States</v>
      </c>
      <c r="AE289" t="s">
        <v>241</v>
      </c>
      <c r="AF289" t="s">
        <v>52</v>
      </c>
      <c r="AG289" t="str">
        <f t="shared" si="48"/>
        <v>Asian or Asian American</v>
      </c>
      <c r="AH289" t="str">
        <f t="shared" si="59"/>
        <v>Asian or Asian American</v>
      </c>
    </row>
    <row r="290" spans="1:34" x14ac:dyDescent="0.25">
      <c r="A290" t="s">
        <v>927</v>
      </c>
      <c r="B290" t="s">
        <v>30</v>
      </c>
      <c r="C290" t="s">
        <v>928</v>
      </c>
      <c r="D290" t="s">
        <v>471</v>
      </c>
      <c r="E290" t="s">
        <v>34</v>
      </c>
      <c r="F290" t="str">
        <f t="shared" si="49"/>
        <v>Data Analyst</v>
      </c>
      <c r="G290" t="str">
        <f t="shared" si="50"/>
        <v>Data Analyst</v>
      </c>
      <c r="H290" t="s">
        <v>35</v>
      </c>
      <c r="I290" t="s">
        <v>48</v>
      </c>
      <c r="J290" t="s">
        <v>37</v>
      </c>
      <c r="K290" t="str">
        <f t="shared" si="51"/>
        <v>Healthcare</v>
      </c>
      <c r="L290" t="str">
        <f t="shared" si="52"/>
        <v>Healthcare</v>
      </c>
      <c r="M290" t="s">
        <v>929</v>
      </c>
      <c r="N290" t="str">
        <f t="shared" si="53"/>
        <v>Mainly use Excel</v>
      </c>
      <c r="O290" t="str">
        <f t="shared" si="54"/>
        <v>Others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tr">
        <f t="shared" si="55"/>
        <v>Better Salary</v>
      </c>
      <c r="Y290" t="str">
        <f t="shared" si="56"/>
        <v>Better Salary</v>
      </c>
      <c r="Z290" t="s">
        <v>69</v>
      </c>
      <c r="AA290">
        <v>25</v>
      </c>
      <c r="AB290" t="s">
        <v>42</v>
      </c>
      <c r="AC290" t="str">
        <f t="shared" si="57"/>
        <v>United States</v>
      </c>
      <c r="AD290" t="str">
        <f t="shared" si="58"/>
        <v>United States</v>
      </c>
      <c r="AE290" t="s">
        <v>241</v>
      </c>
      <c r="AF290" t="s">
        <v>52</v>
      </c>
      <c r="AG290" t="str">
        <f t="shared" si="48"/>
        <v>Asian or Asian American</v>
      </c>
      <c r="AH290" t="str">
        <f t="shared" si="59"/>
        <v>Asian or Asian American</v>
      </c>
    </row>
    <row r="291" spans="1:34" x14ac:dyDescent="0.25">
      <c r="A291" t="s">
        <v>930</v>
      </c>
      <c r="B291" t="s">
        <v>30</v>
      </c>
      <c r="C291" t="s">
        <v>931</v>
      </c>
      <c r="D291" t="s">
        <v>735</v>
      </c>
      <c r="E291" t="s">
        <v>34</v>
      </c>
      <c r="F291" t="str">
        <f t="shared" si="49"/>
        <v>Data Analyst</v>
      </c>
      <c r="G291" t="str">
        <f t="shared" si="50"/>
        <v>Data Analyst</v>
      </c>
      <c r="H291" t="s">
        <v>35</v>
      </c>
      <c r="I291" t="s">
        <v>57</v>
      </c>
      <c r="J291" t="s">
        <v>107</v>
      </c>
      <c r="K291" t="str">
        <f t="shared" si="51"/>
        <v>Tech</v>
      </c>
      <c r="L291" t="str">
        <f t="shared" si="52"/>
        <v>Tech</v>
      </c>
      <c r="M291" t="s">
        <v>38</v>
      </c>
      <c r="N291" t="str">
        <f t="shared" si="53"/>
        <v>Python</v>
      </c>
      <c r="O291" t="str">
        <f t="shared" si="54"/>
        <v>Python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tr">
        <f t="shared" si="55"/>
        <v>Better Salary</v>
      </c>
      <c r="Y291" t="str">
        <f t="shared" si="56"/>
        <v>Better Salary</v>
      </c>
      <c r="Z291" t="s">
        <v>41</v>
      </c>
      <c r="AA291">
        <v>29</v>
      </c>
      <c r="AB291" t="s">
        <v>932</v>
      </c>
      <c r="AC291" t="str">
        <f t="shared" si="57"/>
        <v>Iran</v>
      </c>
      <c r="AD291" t="str">
        <f t="shared" si="58"/>
        <v>Others</v>
      </c>
      <c r="AE291" t="s">
        <v>244</v>
      </c>
      <c r="AF291" t="s">
        <v>43</v>
      </c>
      <c r="AG291" t="str">
        <f t="shared" si="48"/>
        <v>White or Caucasian</v>
      </c>
      <c r="AH291" t="str">
        <f t="shared" si="59"/>
        <v>White or Caucasian</v>
      </c>
    </row>
    <row r="292" spans="1:34" x14ac:dyDescent="0.25">
      <c r="A292" t="s">
        <v>933</v>
      </c>
      <c r="B292" t="s">
        <v>30</v>
      </c>
      <c r="C292" t="s">
        <v>934</v>
      </c>
      <c r="D292" t="s">
        <v>935</v>
      </c>
      <c r="E292" t="s">
        <v>629</v>
      </c>
      <c r="F292" t="str">
        <f t="shared" si="49"/>
        <v>Analytics Engineer</v>
      </c>
      <c r="G292" t="str">
        <f t="shared" si="50"/>
        <v>Others</v>
      </c>
      <c r="H292" t="s">
        <v>35</v>
      </c>
      <c r="I292" t="s">
        <v>48</v>
      </c>
      <c r="J292" t="s">
        <v>37</v>
      </c>
      <c r="K292" t="str">
        <f t="shared" si="51"/>
        <v>Healthcare</v>
      </c>
      <c r="L292" t="str">
        <f t="shared" si="52"/>
        <v>Healthcare</v>
      </c>
      <c r="M292" t="s">
        <v>50</v>
      </c>
      <c r="N292" t="str">
        <f t="shared" si="53"/>
        <v>R</v>
      </c>
      <c r="O292" t="str">
        <f t="shared" si="54"/>
        <v>R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tr">
        <f t="shared" si="55"/>
        <v>Better Salary</v>
      </c>
      <c r="Y292" t="str">
        <f t="shared" si="56"/>
        <v>Better Salary</v>
      </c>
      <c r="Z292" t="s">
        <v>69</v>
      </c>
      <c r="AA292">
        <v>29</v>
      </c>
      <c r="AB292" t="s">
        <v>42</v>
      </c>
      <c r="AC292" t="str">
        <f t="shared" si="57"/>
        <v>United States</v>
      </c>
      <c r="AD292" t="str">
        <f t="shared" si="58"/>
        <v>United States</v>
      </c>
      <c r="AE292" t="s">
        <v>244</v>
      </c>
      <c r="AF292" t="s">
        <v>62</v>
      </c>
      <c r="AG292" t="str">
        <f t="shared" si="48"/>
        <v>Black or African American</v>
      </c>
      <c r="AH292" t="str">
        <f t="shared" si="59"/>
        <v>Black or African American</v>
      </c>
    </row>
    <row r="293" spans="1:34" x14ac:dyDescent="0.25">
      <c r="A293" t="s">
        <v>936</v>
      </c>
      <c r="B293" t="s">
        <v>30</v>
      </c>
      <c r="C293" t="s">
        <v>937</v>
      </c>
      <c r="D293" t="s">
        <v>379</v>
      </c>
      <c r="E293" t="s">
        <v>34</v>
      </c>
      <c r="F293" t="str">
        <f t="shared" si="49"/>
        <v>Data Analyst</v>
      </c>
      <c r="G293" t="str">
        <f t="shared" si="50"/>
        <v>Data Analyst</v>
      </c>
      <c r="H293" t="s">
        <v>35</v>
      </c>
      <c r="I293" t="s">
        <v>57</v>
      </c>
      <c r="J293" t="s">
        <v>107</v>
      </c>
      <c r="K293" t="str">
        <f t="shared" si="51"/>
        <v>Tech</v>
      </c>
      <c r="L293" t="str">
        <f t="shared" si="52"/>
        <v>Tech</v>
      </c>
      <c r="M293" t="s">
        <v>50</v>
      </c>
      <c r="N293" t="str">
        <f t="shared" si="53"/>
        <v>R</v>
      </c>
      <c r="O293" t="str">
        <f t="shared" si="54"/>
        <v>R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tr">
        <f t="shared" si="55"/>
        <v>Better Salary</v>
      </c>
      <c r="Y293" t="str">
        <f t="shared" si="56"/>
        <v>Better Salary</v>
      </c>
      <c r="Z293" t="s">
        <v>41</v>
      </c>
      <c r="AA293">
        <v>31</v>
      </c>
      <c r="AB293" t="s">
        <v>151</v>
      </c>
      <c r="AC293" t="str">
        <f t="shared" si="57"/>
        <v>India</v>
      </c>
      <c r="AD293" t="str">
        <f t="shared" si="58"/>
        <v>India</v>
      </c>
      <c r="AE293" t="s">
        <v>244</v>
      </c>
      <c r="AF293" t="s">
        <v>52</v>
      </c>
      <c r="AG293" t="str">
        <f t="shared" si="48"/>
        <v>Asian or Asian American</v>
      </c>
      <c r="AH293" t="str">
        <f t="shared" si="59"/>
        <v>Asian or Asian American</v>
      </c>
    </row>
    <row r="294" spans="1:34" x14ac:dyDescent="0.25">
      <c r="A294" t="s">
        <v>938</v>
      </c>
      <c r="B294" t="s">
        <v>30</v>
      </c>
      <c r="C294" t="s">
        <v>939</v>
      </c>
      <c r="D294" t="s">
        <v>190</v>
      </c>
      <c r="E294" t="s">
        <v>127</v>
      </c>
      <c r="F294" t="str">
        <f t="shared" si="49"/>
        <v>Student/Looking/None</v>
      </c>
      <c r="G294" t="str">
        <f t="shared" si="50"/>
        <v>Student/Looking/None</v>
      </c>
      <c r="H294" t="s">
        <v>47</v>
      </c>
      <c r="I294" t="s">
        <v>57</v>
      </c>
      <c r="J294" t="s">
        <v>716</v>
      </c>
      <c r="K294" t="str">
        <f t="shared" si="51"/>
        <v>Real Estate</v>
      </c>
      <c r="L294" t="str">
        <f t="shared" si="52"/>
        <v>Real Estate</v>
      </c>
      <c r="M294" t="s">
        <v>50</v>
      </c>
      <c r="N294" t="str">
        <f t="shared" si="53"/>
        <v>R</v>
      </c>
      <c r="O294" t="str">
        <f t="shared" si="54"/>
        <v>R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tr">
        <f t="shared" si="55"/>
        <v>Remote Work</v>
      </c>
      <c r="Y294" t="str">
        <f t="shared" si="56"/>
        <v>Remote Work</v>
      </c>
      <c r="Z294" t="s">
        <v>41</v>
      </c>
      <c r="AA294">
        <v>34</v>
      </c>
      <c r="AB294" t="s">
        <v>940</v>
      </c>
      <c r="AC294" t="str">
        <f t="shared" si="57"/>
        <v>South Africa</v>
      </c>
      <c r="AD294" t="str">
        <f t="shared" si="58"/>
        <v>Others</v>
      </c>
      <c r="AE294" t="s">
        <v>231</v>
      </c>
      <c r="AF294" t="s">
        <v>62</v>
      </c>
      <c r="AG294" t="str">
        <f t="shared" si="48"/>
        <v>Black or African American</v>
      </c>
      <c r="AH294" t="str">
        <f t="shared" si="59"/>
        <v>Black or African American</v>
      </c>
    </row>
    <row r="295" spans="1:34" x14ac:dyDescent="0.25">
      <c r="A295" t="s">
        <v>941</v>
      </c>
      <c r="B295" t="s">
        <v>30</v>
      </c>
      <c r="C295" t="s">
        <v>942</v>
      </c>
      <c r="D295" t="s">
        <v>269</v>
      </c>
      <c r="E295" t="s">
        <v>34</v>
      </c>
      <c r="F295" t="str">
        <f t="shared" si="49"/>
        <v>Data Analyst</v>
      </c>
      <c r="G295" t="str">
        <f t="shared" si="50"/>
        <v>Data Analyst</v>
      </c>
      <c r="H295" t="s">
        <v>35</v>
      </c>
      <c r="I295" t="s">
        <v>57</v>
      </c>
      <c r="J295" t="s">
        <v>107</v>
      </c>
      <c r="K295" t="str">
        <f t="shared" si="51"/>
        <v>Tech</v>
      </c>
      <c r="L295" t="str">
        <f t="shared" si="52"/>
        <v>Tech</v>
      </c>
      <c r="M295" t="s">
        <v>38</v>
      </c>
      <c r="N295" t="str">
        <f t="shared" si="53"/>
        <v>Python</v>
      </c>
      <c r="O295" t="str">
        <f t="shared" si="54"/>
        <v>Python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tr">
        <f t="shared" si="55"/>
        <v>Good Work/Life Balance</v>
      </c>
      <c r="Y295" t="str">
        <f t="shared" si="56"/>
        <v>Good Work/Life Balance</v>
      </c>
      <c r="Z295" t="s">
        <v>41</v>
      </c>
      <c r="AA295">
        <v>26</v>
      </c>
      <c r="AB295" t="s">
        <v>943</v>
      </c>
      <c r="AC295" t="str">
        <f t="shared" si="57"/>
        <v>Bangladesh</v>
      </c>
      <c r="AD295" t="str">
        <f t="shared" si="58"/>
        <v>Others</v>
      </c>
      <c r="AE295" t="s">
        <v>241</v>
      </c>
      <c r="AF295" t="s">
        <v>944</v>
      </c>
      <c r="AG295" t="str">
        <f t="shared" si="48"/>
        <v>Bangladeshi</v>
      </c>
      <c r="AH295" t="str">
        <f t="shared" si="59"/>
        <v>Others</v>
      </c>
    </row>
    <row r="296" spans="1:34" x14ac:dyDescent="0.25">
      <c r="A296" t="s">
        <v>945</v>
      </c>
      <c r="B296" t="s">
        <v>30</v>
      </c>
      <c r="C296" t="s">
        <v>946</v>
      </c>
      <c r="D296" t="s">
        <v>161</v>
      </c>
      <c r="E296" t="s">
        <v>947</v>
      </c>
      <c r="F296" t="str">
        <f t="shared" si="49"/>
        <v>Jr. Data Scientist</v>
      </c>
      <c r="G296" t="str">
        <f t="shared" si="50"/>
        <v>Others</v>
      </c>
      <c r="H296" t="s">
        <v>47</v>
      </c>
      <c r="I296" t="s">
        <v>91</v>
      </c>
      <c r="J296" t="s">
        <v>37</v>
      </c>
      <c r="K296" t="str">
        <f t="shared" si="51"/>
        <v>Healthcare</v>
      </c>
      <c r="L296" t="str">
        <f t="shared" si="52"/>
        <v>Healthcare</v>
      </c>
      <c r="M296" t="s">
        <v>38</v>
      </c>
      <c r="N296" t="str">
        <f t="shared" si="53"/>
        <v>Python</v>
      </c>
      <c r="O296" t="str">
        <f t="shared" si="54"/>
        <v>Python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tr">
        <f t="shared" si="55"/>
        <v>Remote Work</v>
      </c>
      <c r="Y296" t="str">
        <f t="shared" si="56"/>
        <v>Remote Work</v>
      </c>
      <c r="Z296" t="s">
        <v>69</v>
      </c>
      <c r="AA296">
        <v>26</v>
      </c>
      <c r="AB296" t="s">
        <v>42</v>
      </c>
      <c r="AC296" t="str">
        <f t="shared" si="57"/>
        <v>United States</v>
      </c>
      <c r="AD296" t="str">
        <f t="shared" si="58"/>
        <v>United States</v>
      </c>
      <c r="AE296" t="s">
        <v>241</v>
      </c>
      <c r="AF296" t="s">
        <v>43</v>
      </c>
      <c r="AG296" t="str">
        <f t="shared" si="48"/>
        <v>White or Caucasian</v>
      </c>
      <c r="AH296" t="str">
        <f t="shared" si="59"/>
        <v>White or Caucasian</v>
      </c>
    </row>
    <row r="297" spans="1:34" x14ac:dyDescent="0.25">
      <c r="A297" t="s">
        <v>948</v>
      </c>
      <c r="B297" t="s">
        <v>30</v>
      </c>
      <c r="C297" t="s">
        <v>949</v>
      </c>
      <c r="D297" t="s">
        <v>917</v>
      </c>
      <c r="E297" t="s">
        <v>950</v>
      </c>
      <c r="F297" t="str">
        <f t="shared" si="49"/>
        <v>Continuous Quality Improvement Specialist</v>
      </c>
      <c r="G297" t="str">
        <f t="shared" si="50"/>
        <v>Others</v>
      </c>
      <c r="H297" t="s">
        <v>35</v>
      </c>
      <c r="I297" t="s">
        <v>48</v>
      </c>
      <c r="J297" t="s">
        <v>951</v>
      </c>
      <c r="K297" t="str">
        <f t="shared" si="51"/>
        <v>Law Enforcement</v>
      </c>
      <c r="L297" t="str">
        <f t="shared" si="52"/>
        <v>Others</v>
      </c>
      <c r="M297" t="s">
        <v>537</v>
      </c>
      <c r="N297" t="str">
        <f t="shared" si="53"/>
        <v>DAX</v>
      </c>
      <c r="O297" t="str">
        <f t="shared" si="54"/>
        <v>DAX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tr">
        <f t="shared" si="55"/>
        <v>Mentorship from leading Data Analyst</v>
      </c>
      <c r="Y297" t="str">
        <f t="shared" si="56"/>
        <v>Others</v>
      </c>
      <c r="Z297" t="s">
        <v>41</v>
      </c>
      <c r="AA297">
        <v>27</v>
      </c>
      <c r="AB297" t="s">
        <v>42</v>
      </c>
      <c r="AC297" t="str">
        <f t="shared" si="57"/>
        <v>United States</v>
      </c>
      <c r="AD297" t="str">
        <f t="shared" si="58"/>
        <v>United States</v>
      </c>
      <c r="AE297" t="s">
        <v>244</v>
      </c>
      <c r="AF297" t="s">
        <v>62</v>
      </c>
      <c r="AG297" t="str">
        <f t="shared" si="48"/>
        <v>Black or African American</v>
      </c>
      <c r="AH297" t="str">
        <f t="shared" si="59"/>
        <v>Black or African American</v>
      </c>
    </row>
    <row r="298" spans="1:34" x14ac:dyDescent="0.25">
      <c r="A298" t="s">
        <v>953</v>
      </c>
      <c r="B298" t="s">
        <v>30</v>
      </c>
      <c r="C298" t="s">
        <v>954</v>
      </c>
      <c r="D298" t="s">
        <v>829</v>
      </c>
      <c r="E298" t="s">
        <v>34</v>
      </c>
      <c r="F298" t="str">
        <f t="shared" si="49"/>
        <v>Data Analyst</v>
      </c>
      <c r="G298" t="str">
        <f t="shared" si="50"/>
        <v>Data Analyst</v>
      </c>
      <c r="H298" t="s">
        <v>35</v>
      </c>
      <c r="I298" t="s">
        <v>98</v>
      </c>
      <c r="J298" t="s">
        <v>955</v>
      </c>
      <c r="K298" t="str">
        <f t="shared" si="51"/>
        <v>last mile delivery logistics</v>
      </c>
      <c r="L298" t="str">
        <f t="shared" si="52"/>
        <v>Others</v>
      </c>
      <c r="M298" t="s">
        <v>38</v>
      </c>
      <c r="N298" t="str">
        <f t="shared" si="53"/>
        <v>Python</v>
      </c>
      <c r="O298" t="str">
        <f t="shared" si="54"/>
        <v>Python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tr">
        <f t="shared" si="55"/>
        <v>Remote Work</v>
      </c>
      <c r="Y298" t="str">
        <f t="shared" si="56"/>
        <v>Remote Work</v>
      </c>
      <c r="Z298" t="s">
        <v>41</v>
      </c>
      <c r="AA298">
        <v>26</v>
      </c>
      <c r="AB298" t="s">
        <v>42</v>
      </c>
      <c r="AC298" t="str">
        <f t="shared" si="57"/>
        <v>United States</v>
      </c>
      <c r="AD298" t="str">
        <f t="shared" si="58"/>
        <v>United States</v>
      </c>
      <c r="AE298" t="s">
        <v>241</v>
      </c>
      <c r="AF298" t="s">
        <v>43</v>
      </c>
      <c r="AG298" t="str">
        <f t="shared" si="48"/>
        <v>White or Caucasian</v>
      </c>
      <c r="AH298" t="str">
        <f t="shared" si="59"/>
        <v>White or Caucasian</v>
      </c>
    </row>
    <row r="299" spans="1:34" x14ac:dyDescent="0.25">
      <c r="A299" t="s">
        <v>956</v>
      </c>
      <c r="B299" t="s">
        <v>30</v>
      </c>
      <c r="C299" t="s">
        <v>957</v>
      </c>
      <c r="D299" t="s">
        <v>556</v>
      </c>
      <c r="E299" t="s">
        <v>127</v>
      </c>
      <c r="F299" t="str">
        <f t="shared" si="49"/>
        <v>Student/Looking/None</v>
      </c>
      <c r="G299" t="str">
        <f t="shared" si="50"/>
        <v>Student/Looking/None</v>
      </c>
      <c r="H299" t="s">
        <v>35</v>
      </c>
      <c r="I299" t="s">
        <v>57</v>
      </c>
      <c r="J299" t="s">
        <v>107</v>
      </c>
      <c r="K299" t="str">
        <f t="shared" si="51"/>
        <v>Tech</v>
      </c>
      <c r="L299" t="str">
        <f t="shared" si="52"/>
        <v>Tech</v>
      </c>
      <c r="M299" t="s">
        <v>38</v>
      </c>
      <c r="N299" t="str">
        <f t="shared" si="53"/>
        <v>Python</v>
      </c>
      <c r="O299" t="str">
        <f t="shared" si="54"/>
        <v>Python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tr">
        <f t="shared" si="55"/>
        <v>Better Salary</v>
      </c>
      <c r="Y299" t="str">
        <f t="shared" si="56"/>
        <v>Better Salary</v>
      </c>
      <c r="Z299" t="s">
        <v>69</v>
      </c>
      <c r="AA299">
        <v>26</v>
      </c>
      <c r="AB299" t="s">
        <v>42</v>
      </c>
      <c r="AC299" t="str">
        <f t="shared" si="57"/>
        <v>United States</v>
      </c>
      <c r="AD299" t="str">
        <f t="shared" si="58"/>
        <v>United States</v>
      </c>
      <c r="AE299" t="s">
        <v>244</v>
      </c>
      <c r="AF299" t="s">
        <v>52</v>
      </c>
      <c r="AG299" t="str">
        <f t="shared" si="48"/>
        <v>Asian or Asian American</v>
      </c>
      <c r="AH299" t="str">
        <f t="shared" si="59"/>
        <v>Asian or Asian American</v>
      </c>
    </row>
    <row r="300" spans="1:34" x14ac:dyDescent="0.25">
      <c r="A300" t="s">
        <v>958</v>
      </c>
      <c r="B300" t="s">
        <v>30</v>
      </c>
      <c r="C300" t="s">
        <v>959</v>
      </c>
      <c r="D300" t="s">
        <v>243</v>
      </c>
      <c r="E300" t="s">
        <v>34</v>
      </c>
      <c r="F300" t="str">
        <f t="shared" si="49"/>
        <v>Data Analyst</v>
      </c>
      <c r="G300" t="str">
        <f t="shared" si="50"/>
        <v>Data Analyst</v>
      </c>
      <c r="H300" t="s">
        <v>35</v>
      </c>
      <c r="I300" t="s">
        <v>48</v>
      </c>
      <c r="J300" t="s">
        <v>49</v>
      </c>
      <c r="K300" t="str">
        <f t="shared" si="51"/>
        <v>Finance</v>
      </c>
      <c r="L300" t="str">
        <f t="shared" si="52"/>
        <v>Finance</v>
      </c>
      <c r="M300" t="s">
        <v>50</v>
      </c>
      <c r="N300" t="str">
        <f t="shared" si="53"/>
        <v>R</v>
      </c>
      <c r="O300" t="str">
        <f t="shared" si="54"/>
        <v>R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tr">
        <f t="shared" si="55"/>
        <v>Better Salary</v>
      </c>
      <c r="Y300" t="str">
        <f t="shared" si="56"/>
        <v>Better Salary</v>
      </c>
      <c r="Z300" t="s">
        <v>41</v>
      </c>
      <c r="AA300">
        <v>24</v>
      </c>
      <c r="AB300" t="s">
        <v>42</v>
      </c>
      <c r="AC300" t="str">
        <f t="shared" si="57"/>
        <v>United States</v>
      </c>
      <c r="AD300" t="str">
        <f t="shared" si="58"/>
        <v>United States</v>
      </c>
      <c r="AE300" t="s">
        <v>241</v>
      </c>
      <c r="AF300" t="s">
        <v>43</v>
      </c>
      <c r="AG300" t="str">
        <f t="shared" si="48"/>
        <v>White or Caucasian</v>
      </c>
      <c r="AH300" t="str">
        <f t="shared" si="59"/>
        <v>White or Caucasian</v>
      </c>
    </row>
    <row r="301" spans="1:34" x14ac:dyDescent="0.25">
      <c r="A301" t="s">
        <v>960</v>
      </c>
      <c r="B301" t="s">
        <v>30</v>
      </c>
      <c r="C301" t="s">
        <v>961</v>
      </c>
      <c r="D301" t="s">
        <v>55</v>
      </c>
      <c r="E301" t="s">
        <v>34</v>
      </c>
      <c r="F301" t="str">
        <f t="shared" si="49"/>
        <v>Data Analyst</v>
      </c>
      <c r="G301" t="str">
        <f t="shared" si="50"/>
        <v>Data Analyst</v>
      </c>
      <c r="H301" t="s">
        <v>35</v>
      </c>
      <c r="I301" t="s">
        <v>91</v>
      </c>
      <c r="J301" t="s">
        <v>87</v>
      </c>
      <c r="K301" t="str">
        <f t="shared" si="51"/>
        <v>Retail</v>
      </c>
      <c r="L301" t="str">
        <f t="shared" si="52"/>
        <v>Retail</v>
      </c>
      <c r="M301" t="s">
        <v>38</v>
      </c>
      <c r="N301" t="str">
        <f t="shared" si="53"/>
        <v>Python</v>
      </c>
      <c r="O301" t="str">
        <f t="shared" si="54"/>
        <v>Python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tr">
        <f t="shared" si="55"/>
        <v>Better Salary</v>
      </c>
      <c r="Y301" t="str">
        <f t="shared" si="56"/>
        <v>Better Salary</v>
      </c>
      <c r="Z301" t="s">
        <v>69</v>
      </c>
      <c r="AA301">
        <v>28</v>
      </c>
      <c r="AB301" t="s">
        <v>962</v>
      </c>
      <c r="AC301" t="str">
        <f t="shared" si="57"/>
        <v>Ire</v>
      </c>
      <c r="AD301" t="str">
        <f t="shared" si="58"/>
        <v>Others</v>
      </c>
      <c r="AE301" t="s">
        <v>244</v>
      </c>
      <c r="AF301" t="s">
        <v>204</v>
      </c>
      <c r="AG301" t="str">
        <f t="shared" si="48"/>
        <v>Indian</v>
      </c>
      <c r="AH301" t="str">
        <f t="shared" si="59"/>
        <v>Indian</v>
      </c>
    </row>
    <row r="302" spans="1:34" x14ac:dyDescent="0.25">
      <c r="A302" t="s">
        <v>963</v>
      </c>
      <c r="B302" t="s">
        <v>30</v>
      </c>
      <c r="C302" t="s">
        <v>964</v>
      </c>
      <c r="D302" t="s">
        <v>243</v>
      </c>
      <c r="E302" t="s">
        <v>34</v>
      </c>
      <c r="F302" t="str">
        <f t="shared" si="49"/>
        <v>Data Analyst</v>
      </c>
      <c r="G302" t="str">
        <f t="shared" si="50"/>
        <v>Data Analyst</v>
      </c>
      <c r="H302" t="s">
        <v>35</v>
      </c>
      <c r="I302" t="s">
        <v>36</v>
      </c>
      <c r="J302" t="s">
        <v>495</v>
      </c>
      <c r="K302" t="str">
        <f t="shared" si="51"/>
        <v>Manufacturing</v>
      </c>
      <c r="L302" t="str">
        <f t="shared" si="52"/>
        <v>Others</v>
      </c>
      <c r="M302" t="s">
        <v>50</v>
      </c>
      <c r="N302" t="str">
        <f t="shared" si="53"/>
        <v>R</v>
      </c>
      <c r="O302" t="str">
        <f t="shared" si="54"/>
        <v>R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tr">
        <f t="shared" si="55"/>
        <v>Better Salary</v>
      </c>
      <c r="Y302" t="str">
        <f t="shared" si="56"/>
        <v>Better Salary</v>
      </c>
      <c r="Z302" t="s">
        <v>41</v>
      </c>
      <c r="AA302">
        <v>29</v>
      </c>
      <c r="AB302" t="s">
        <v>42</v>
      </c>
      <c r="AC302" t="str">
        <f t="shared" si="57"/>
        <v>United States</v>
      </c>
      <c r="AD302" t="str">
        <f t="shared" si="58"/>
        <v>United States</v>
      </c>
      <c r="AE302" t="s">
        <v>241</v>
      </c>
      <c r="AF302" t="s">
        <v>43</v>
      </c>
      <c r="AG302" t="str">
        <f t="shared" si="48"/>
        <v>White or Caucasian</v>
      </c>
      <c r="AH302" t="str">
        <f t="shared" si="59"/>
        <v>White or Caucasian</v>
      </c>
    </row>
    <row r="303" spans="1:34" x14ac:dyDescent="0.25">
      <c r="A303" t="s">
        <v>965</v>
      </c>
      <c r="B303" t="s">
        <v>30</v>
      </c>
      <c r="C303" t="s">
        <v>966</v>
      </c>
      <c r="D303" t="s">
        <v>967</v>
      </c>
      <c r="E303" t="s">
        <v>34</v>
      </c>
      <c r="F303" t="str">
        <f t="shared" si="49"/>
        <v>Data Analyst</v>
      </c>
      <c r="G303" t="str">
        <f t="shared" si="50"/>
        <v>Data Analyst</v>
      </c>
      <c r="H303" t="s">
        <v>35</v>
      </c>
      <c r="I303" t="s">
        <v>98</v>
      </c>
      <c r="J303" t="s">
        <v>49</v>
      </c>
      <c r="K303" t="str">
        <f t="shared" si="51"/>
        <v>Finance</v>
      </c>
      <c r="L303" t="str">
        <f t="shared" si="52"/>
        <v>Finance</v>
      </c>
      <c r="M303" t="s">
        <v>38</v>
      </c>
      <c r="N303" t="str">
        <f t="shared" si="53"/>
        <v>Python</v>
      </c>
      <c r="O303" t="str">
        <f t="shared" si="54"/>
        <v>Python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tr">
        <f t="shared" si="55"/>
        <v>Better Salary</v>
      </c>
      <c r="Y303" t="str">
        <f t="shared" si="56"/>
        <v>Better Salary</v>
      </c>
      <c r="Z303" t="s">
        <v>69</v>
      </c>
      <c r="AA303">
        <v>26</v>
      </c>
      <c r="AB303" t="s">
        <v>42</v>
      </c>
      <c r="AC303" t="str">
        <f t="shared" si="57"/>
        <v>United States</v>
      </c>
      <c r="AD303" t="str">
        <f t="shared" si="58"/>
        <v>United States</v>
      </c>
      <c r="AE303" t="s">
        <v>244</v>
      </c>
      <c r="AF303" t="s">
        <v>52</v>
      </c>
      <c r="AG303" t="str">
        <f t="shared" si="48"/>
        <v>Asian or Asian American</v>
      </c>
      <c r="AH303" t="str">
        <f t="shared" si="59"/>
        <v>Asian or Asian American</v>
      </c>
    </row>
    <row r="304" spans="1:34" x14ac:dyDescent="0.25">
      <c r="A304" t="s">
        <v>968</v>
      </c>
      <c r="B304" t="s">
        <v>30</v>
      </c>
      <c r="C304" t="s">
        <v>969</v>
      </c>
      <c r="D304" t="s">
        <v>326</v>
      </c>
      <c r="E304" t="s">
        <v>34</v>
      </c>
      <c r="F304" t="str">
        <f t="shared" si="49"/>
        <v>Data Analyst</v>
      </c>
      <c r="G304" t="str">
        <f t="shared" si="50"/>
        <v>Data Analyst</v>
      </c>
      <c r="H304" t="s">
        <v>35</v>
      </c>
      <c r="I304" t="s">
        <v>48</v>
      </c>
      <c r="J304" t="s">
        <v>970</v>
      </c>
      <c r="K304" t="str">
        <f t="shared" si="51"/>
        <v>Arrosp</v>
      </c>
      <c r="L304" t="str">
        <f t="shared" si="52"/>
        <v>Others</v>
      </c>
      <c r="M304" t="s">
        <v>38</v>
      </c>
      <c r="N304" t="str">
        <f t="shared" si="53"/>
        <v>Python</v>
      </c>
      <c r="O304" t="str">
        <f t="shared" si="54"/>
        <v>Python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tr">
        <f t="shared" si="55"/>
        <v>Better Salary</v>
      </c>
      <c r="Y304" t="str">
        <f t="shared" si="56"/>
        <v>Better Salary</v>
      </c>
      <c r="Z304" t="s">
        <v>41</v>
      </c>
      <c r="AA304">
        <v>28</v>
      </c>
      <c r="AB304" t="s">
        <v>113</v>
      </c>
      <c r="AC304" t="str">
        <f t="shared" si="57"/>
        <v>United Kingdom</v>
      </c>
      <c r="AD304" t="str">
        <f t="shared" si="58"/>
        <v>United Kingdom</v>
      </c>
      <c r="AE304" t="s">
        <v>241</v>
      </c>
      <c r="AF304" t="s">
        <v>43</v>
      </c>
      <c r="AG304" t="str">
        <f t="shared" si="48"/>
        <v>White or Caucasian</v>
      </c>
      <c r="AH304" t="str">
        <f t="shared" si="59"/>
        <v>White or Caucasian</v>
      </c>
    </row>
    <row r="305" spans="1:34" x14ac:dyDescent="0.25">
      <c r="A305" t="s">
        <v>971</v>
      </c>
      <c r="B305" t="s">
        <v>30</v>
      </c>
      <c r="C305" t="s">
        <v>972</v>
      </c>
      <c r="D305" t="s">
        <v>973</v>
      </c>
      <c r="E305" t="s">
        <v>34</v>
      </c>
      <c r="F305" t="str">
        <f t="shared" si="49"/>
        <v>Data Analyst</v>
      </c>
      <c r="G305" t="str">
        <f t="shared" si="50"/>
        <v>Data Analyst</v>
      </c>
      <c r="H305" t="s">
        <v>47</v>
      </c>
      <c r="I305" t="s">
        <v>57</v>
      </c>
      <c r="J305" t="s">
        <v>49</v>
      </c>
      <c r="K305" t="str">
        <f t="shared" si="51"/>
        <v>Finance</v>
      </c>
      <c r="L305" t="str">
        <f t="shared" si="52"/>
        <v>Finance</v>
      </c>
      <c r="M305" t="s">
        <v>38</v>
      </c>
      <c r="N305" t="str">
        <f t="shared" si="53"/>
        <v>Python</v>
      </c>
      <c r="O305" t="str">
        <f t="shared" si="54"/>
        <v>Python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tr">
        <f t="shared" si="55"/>
        <v>Intresting work</v>
      </c>
      <c r="Y305" t="str">
        <f t="shared" si="56"/>
        <v>Others</v>
      </c>
      <c r="Z305" t="s">
        <v>41</v>
      </c>
      <c r="AA305">
        <v>25</v>
      </c>
      <c r="AB305" t="s">
        <v>293</v>
      </c>
      <c r="AC305" t="str">
        <f t="shared" si="57"/>
        <v>France</v>
      </c>
      <c r="AD305" t="str">
        <f t="shared" si="58"/>
        <v>Others</v>
      </c>
      <c r="AE305" t="s">
        <v>244</v>
      </c>
      <c r="AF305" t="s">
        <v>43</v>
      </c>
      <c r="AG305" t="str">
        <f t="shared" si="48"/>
        <v>White or Caucasian</v>
      </c>
      <c r="AH305" t="str">
        <f t="shared" si="59"/>
        <v>White or Caucasian</v>
      </c>
    </row>
    <row r="306" spans="1:34" x14ac:dyDescent="0.25">
      <c r="A306" t="s">
        <v>975</v>
      </c>
      <c r="B306" t="s">
        <v>30</v>
      </c>
      <c r="C306" t="s">
        <v>976</v>
      </c>
      <c r="D306" t="s">
        <v>46</v>
      </c>
      <c r="E306" t="s">
        <v>34</v>
      </c>
      <c r="F306" t="str">
        <f t="shared" si="49"/>
        <v>Data Analyst</v>
      </c>
      <c r="G306" t="str">
        <f t="shared" si="50"/>
        <v>Data Analyst</v>
      </c>
      <c r="H306" t="s">
        <v>35</v>
      </c>
      <c r="I306" t="s">
        <v>98</v>
      </c>
      <c r="J306" t="s">
        <v>49</v>
      </c>
      <c r="K306" t="str">
        <f t="shared" si="51"/>
        <v>Finance</v>
      </c>
      <c r="L306" t="str">
        <f t="shared" si="52"/>
        <v>Finance</v>
      </c>
      <c r="M306" t="s">
        <v>50</v>
      </c>
      <c r="N306" t="str">
        <f t="shared" si="53"/>
        <v>R</v>
      </c>
      <c r="O306" t="str">
        <f t="shared" si="54"/>
        <v>R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tr">
        <f t="shared" si="55"/>
        <v>Better Salary</v>
      </c>
      <c r="Y306" t="str">
        <f t="shared" si="56"/>
        <v>Better Salary</v>
      </c>
      <c r="Z306" t="s">
        <v>69</v>
      </c>
      <c r="AA306">
        <v>26</v>
      </c>
      <c r="AB306" t="s">
        <v>42</v>
      </c>
      <c r="AC306" t="str">
        <f t="shared" si="57"/>
        <v>United States</v>
      </c>
      <c r="AD306" t="str">
        <f t="shared" si="58"/>
        <v>United States</v>
      </c>
      <c r="AE306" t="s">
        <v>241</v>
      </c>
      <c r="AF306" t="s">
        <v>52</v>
      </c>
      <c r="AG306" t="str">
        <f t="shared" si="48"/>
        <v>Asian or Asian American</v>
      </c>
      <c r="AH306" t="str">
        <f t="shared" si="59"/>
        <v>Asian or Asian American</v>
      </c>
    </row>
    <row r="307" spans="1:34" x14ac:dyDescent="0.25">
      <c r="A307" t="s">
        <v>977</v>
      </c>
      <c r="B307" t="s">
        <v>30</v>
      </c>
      <c r="C307" t="s">
        <v>978</v>
      </c>
      <c r="D307" t="s">
        <v>979</v>
      </c>
      <c r="E307" t="s">
        <v>56</v>
      </c>
      <c r="F307" t="str">
        <f t="shared" si="49"/>
        <v>Data Engineer</v>
      </c>
      <c r="G307" t="str">
        <f t="shared" si="50"/>
        <v>Data Engineer</v>
      </c>
      <c r="H307" t="s">
        <v>35</v>
      </c>
      <c r="I307" t="s">
        <v>86</v>
      </c>
      <c r="J307" t="s">
        <v>37</v>
      </c>
      <c r="K307" t="str">
        <f t="shared" si="51"/>
        <v>Healthcare</v>
      </c>
      <c r="L307" t="str">
        <f t="shared" si="52"/>
        <v>Healthcare</v>
      </c>
      <c r="M307" t="s">
        <v>38</v>
      </c>
      <c r="N307" t="str">
        <f t="shared" si="53"/>
        <v>Python</v>
      </c>
      <c r="O307" t="str">
        <f t="shared" si="54"/>
        <v>Python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tr">
        <f t="shared" si="55"/>
        <v>Remote Work</v>
      </c>
      <c r="Y307" t="str">
        <f t="shared" si="56"/>
        <v>Remote Work</v>
      </c>
      <c r="Z307" t="s">
        <v>69</v>
      </c>
      <c r="AA307">
        <v>38</v>
      </c>
      <c r="AB307" t="s">
        <v>42</v>
      </c>
      <c r="AC307" t="str">
        <f t="shared" si="57"/>
        <v>United States</v>
      </c>
      <c r="AD307" t="str">
        <f t="shared" si="58"/>
        <v>United States</v>
      </c>
      <c r="AE307" t="s">
        <v>244</v>
      </c>
      <c r="AF307" t="s">
        <v>43</v>
      </c>
      <c r="AG307" t="str">
        <f t="shared" si="48"/>
        <v>White or Caucasian</v>
      </c>
      <c r="AH307" t="str">
        <f t="shared" si="59"/>
        <v>White or Caucasian</v>
      </c>
    </row>
    <row r="308" spans="1:34" x14ac:dyDescent="0.25">
      <c r="A308" t="s">
        <v>980</v>
      </c>
      <c r="B308" t="s">
        <v>30</v>
      </c>
      <c r="C308" t="s">
        <v>981</v>
      </c>
      <c r="D308" t="s">
        <v>429</v>
      </c>
      <c r="E308" t="s">
        <v>82</v>
      </c>
      <c r="F308" t="str">
        <f t="shared" si="49"/>
        <v>Other</v>
      </c>
      <c r="G308" t="str">
        <f t="shared" si="50"/>
        <v>Others</v>
      </c>
      <c r="H308" t="s">
        <v>35</v>
      </c>
      <c r="I308" t="s">
        <v>57</v>
      </c>
      <c r="J308" t="s">
        <v>982</v>
      </c>
      <c r="K308" t="str">
        <f t="shared" si="51"/>
        <v>Demography and Social Statistics</v>
      </c>
      <c r="L308" t="str">
        <f t="shared" si="52"/>
        <v>Others</v>
      </c>
      <c r="M308" t="s">
        <v>88</v>
      </c>
      <c r="N308" t="str">
        <f t="shared" si="53"/>
        <v>SQL</v>
      </c>
      <c r="O308" t="str">
        <f t="shared" si="54"/>
        <v>SQL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tr">
        <f t="shared" si="55"/>
        <v>Better Salary</v>
      </c>
      <c r="Y308" t="str">
        <f t="shared" si="56"/>
        <v>Better Salary</v>
      </c>
      <c r="Z308" t="s">
        <v>69</v>
      </c>
      <c r="AA308">
        <v>20</v>
      </c>
      <c r="AB308" t="s">
        <v>423</v>
      </c>
      <c r="AC308" t="str">
        <f t="shared" si="57"/>
        <v>Nigeria</v>
      </c>
      <c r="AD308" t="str">
        <f t="shared" si="58"/>
        <v>Nigeria</v>
      </c>
      <c r="AE308" t="s">
        <v>231</v>
      </c>
      <c r="AF308" t="s">
        <v>62</v>
      </c>
      <c r="AG308" t="str">
        <f t="shared" si="48"/>
        <v>Black or African American</v>
      </c>
      <c r="AH308" t="str">
        <f t="shared" si="59"/>
        <v>Black or African American</v>
      </c>
    </row>
    <row r="309" spans="1:34" x14ac:dyDescent="0.25">
      <c r="A309" t="s">
        <v>983</v>
      </c>
      <c r="B309" t="s">
        <v>30</v>
      </c>
      <c r="C309" t="s">
        <v>984</v>
      </c>
      <c r="D309" t="s">
        <v>269</v>
      </c>
      <c r="E309" t="s">
        <v>34</v>
      </c>
      <c r="F309" t="str">
        <f t="shared" si="49"/>
        <v>Data Analyst</v>
      </c>
      <c r="G309" t="str">
        <f t="shared" si="50"/>
        <v>Data Analyst</v>
      </c>
      <c r="H309" t="s">
        <v>47</v>
      </c>
      <c r="I309" t="s">
        <v>98</v>
      </c>
      <c r="J309" t="s">
        <v>112</v>
      </c>
      <c r="K309" t="str">
        <f t="shared" si="51"/>
        <v>Education</v>
      </c>
      <c r="L309" t="str">
        <f t="shared" si="52"/>
        <v>Education</v>
      </c>
      <c r="M309" t="s">
        <v>88</v>
      </c>
      <c r="N309" t="str">
        <f t="shared" si="53"/>
        <v>SQL</v>
      </c>
      <c r="O309" t="str">
        <f t="shared" si="54"/>
        <v>SQL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tr">
        <f t="shared" si="55"/>
        <v>Remote Work</v>
      </c>
      <c r="Y309" t="str">
        <f t="shared" si="56"/>
        <v>Remote Work</v>
      </c>
      <c r="Z309" t="s">
        <v>69</v>
      </c>
      <c r="AA309">
        <v>45</v>
      </c>
      <c r="AB309" t="s">
        <v>42</v>
      </c>
      <c r="AC309" t="str">
        <f t="shared" si="57"/>
        <v>United States</v>
      </c>
      <c r="AD309" t="str">
        <f t="shared" si="58"/>
        <v>United States</v>
      </c>
      <c r="AE309" t="s">
        <v>244</v>
      </c>
      <c r="AF309" t="s">
        <v>62</v>
      </c>
      <c r="AG309" t="str">
        <f t="shared" si="48"/>
        <v>Black or African American</v>
      </c>
      <c r="AH309" t="str">
        <f t="shared" si="59"/>
        <v>Black or African American</v>
      </c>
    </row>
    <row r="310" spans="1:34" x14ac:dyDescent="0.25">
      <c r="A310" t="s">
        <v>985</v>
      </c>
      <c r="B310" t="s">
        <v>30</v>
      </c>
      <c r="C310" t="s">
        <v>986</v>
      </c>
      <c r="D310" t="s">
        <v>243</v>
      </c>
      <c r="E310" t="s">
        <v>34</v>
      </c>
      <c r="F310" t="str">
        <f t="shared" si="49"/>
        <v>Data Analyst</v>
      </c>
      <c r="G310" t="str">
        <f t="shared" si="50"/>
        <v>Data Analyst</v>
      </c>
      <c r="H310" t="s">
        <v>47</v>
      </c>
      <c r="I310" t="s">
        <v>91</v>
      </c>
      <c r="J310" t="s">
        <v>783</v>
      </c>
      <c r="K310" t="str">
        <f t="shared" si="51"/>
        <v>Marketing</v>
      </c>
      <c r="L310" t="str">
        <f t="shared" si="52"/>
        <v>Others</v>
      </c>
      <c r="M310" t="s">
        <v>38</v>
      </c>
      <c r="N310" t="str">
        <f t="shared" si="53"/>
        <v>Python</v>
      </c>
      <c r="O310" t="str">
        <f t="shared" si="54"/>
        <v>Python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tr">
        <f t="shared" si="55"/>
        <v>Good Work/Life Balance</v>
      </c>
      <c r="Y310" t="str">
        <f t="shared" si="56"/>
        <v>Good Work/Life Balance</v>
      </c>
      <c r="Z310" t="s">
        <v>41</v>
      </c>
      <c r="AA310">
        <v>27</v>
      </c>
      <c r="AB310" t="s">
        <v>51</v>
      </c>
      <c r="AC310" t="str">
        <f t="shared" si="57"/>
        <v>Canada</v>
      </c>
      <c r="AD310" t="str">
        <f t="shared" si="58"/>
        <v>Canada</v>
      </c>
      <c r="AE310" t="s">
        <v>244</v>
      </c>
      <c r="AF310" t="s">
        <v>987</v>
      </c>
      <c r="AG310" t="str">
        <f t="shared" si="48"/>
        <v>Pakistani</v>
      </c>
      <c r="AH310" t="str">
        <f t="shared" si="59"/>
        <v>Others</v>
      </c>
    </row>
    <row r="311" spans="1:34" x14ac:dyDescent="0.25">
      <c r="A311" t="s">
        <v>988</v>
      </c>
      <c r="B311" t="s">
        <v>30</v>
      </c>
      <c r="C311" t="s">
        <v>989</v>
      </c>
      <c r="D311" t="s">
        <v>694</v>
      </c>
      <c r="E311" t="s">
        <v>34</v>
      </c>
      <c r="F311" t="str">
        <f t="shared" si="49"/>
        <v>Data Analyst</v>
      </c>
      <c r="G311" t="str">
        <f t="shared" si="50"/>
        <v>Data Analyst</v>
      </c>
      <c r="H311" t="s">
        <v>35</v>
      </c>
      <c r="I311" t="s">
        <v>48</v>
      </c>
      <c r="J311" t="s">
        <v>451</v>
      </c>
      <c r="K311" t="str">
        <f t="shared" si="51"/>
        <v>Consulti</v>
      </c>
      <c r="L311" t="str">
        <f t="shared" si="52"/>
        <v>Others</v>
      </c>
      <c r="M311" t="s">
        <v>38</v>
      </c>
      <c r="N311" t="str">
        <f t="shared" si="53"/>
        <v>Python</v>
      </c>
      <c r="O311" t="str">
        <f t="shared" si="54"/>
        <v>Python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tr">
        <f t="shared" si="55"/>
        <v>Good Culture</v>
      </c>
      <c r="Y311" t="str">
        <f t="shared" si="56"/>
        <v>Good Culture</v>
      </c>
      <c r="Z311" t="s">
        <v>41</v>
      </c>
      <c r="AA311">
        <v>28</v>
      </c>
      <c r="AB311" t="s">
        <v>51</v>
      </c>
      <c r="AC311" t="str">
        <f t="shared" si="57"/>
        <v>Canada</v>
      </c>
      <c r="AD311" t="str">
        <f t="shared" si="58"/>
        <v>Canada</v>
      </c>
      <c r="AE311" t="s">
        <v>244</v>
      </c>
      <c r="AF311" t="s">
        <v>52</v>
      </c>
      <c r="AG311" t="str">
        <f t="shared" si="48"/>
        <v>Asian or Asian American</v>
      </c>
      <c r="AH311" t="str">
        <f t="shared" si="59"/>
        <v>Asian or Asian American</v>
      </c>
    </row>
    <row r="312" spans="1:34" x14ac:dyDescent="0.25">
      <c r="A312" t="s">
        <v>990</v>
      </c>
      <c r="B312" t="s">
        <v>30</v>
      </c>
      <c r="C312" t="s">
        <v>991</v>
      </c>
      <c r="D312" t="s">
        <v>840</v>
      </c>
      <c r="E312" t="s">
        <v>127</v>
      </c>
      <c r="F312" t="str">
        <f t="shared" si="49"/>
        <v>Student/Looking/None</v>
      </c>
      <c r="G312" t="str">
        <f t="shared" si="50"/>
        <v>Student/Looking/None</v>
      </c>
      <c r="H312" t="s">
        <v>35</v>
      </c>
      <c r="I312" t="s">
        <v>57</v>
      </c>
      <c r="J312" t="s">
        <v>992</v>
      </c>
      <c r="K312" t="str">
        <f t="shared" si="51"/>
        <v>i`m currently student</v>
      </c>
      <c r="L312" t="str">
        <f t="shared" si="52"/>
        <v>Others</v>
      </c>
      <c r="M312" t="s">
        <v>50</v>
      </c>
      <c r="N312" t="str">
        <f t="shared" si="53"/>
        <v>R</v>
      </c>
      <c r="O312" t="str">
        <f t="shared" si="54"/>
        <v>R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tr">
        <f t="shared" si="55"/>
        <v>Remote Work</v>
      </c>
      <c r="Y312" t="str">
        <f t="shared" si="56"/>
        <v>Remote Work</v>
      </c>
      <c r="Z312" t="s">
        <v>69</v>
      </c>
      <c r="AA312">
        <v>29</v>
      </c>
      <c r="AB312" t="s">
        <v>271</v>
      </c>
      <c r="AC312" t="str">
        <f t="shared" si="57"/>
        <v>Germany</v>
      </c>
      <c r="AD312" t="str">
        <f t="shared" si="58"/>
        <v>Germany</v>
      </c>
      <c r="AE312" t="s">
        <v>241</v>
      </c>
      <c r="AF312" t="s">
        <v>993</v>
      </c>
      <c r="AG312" t="str">
        <f t="shared" si="48"/>
        <v>Russian</v>
      </c>
      <c r="AH312" t="str">
        <f t="shared" si="59"/>
        <v>Others</v>
      </c>
    </row>
    <row r="313" spans="1:34" x14ac:dyDescent="0.25">
      <c r="A313" t="s">
        <v>994</v>
      </c>
      <c r="B313" t="s">
        <v>30</v>
      </c>
      <c r="C313" t="s">
        <v>995</v>
      </c>
      <c r="D313" t="s">
        <v>233</v>
      </c>
      <c r="E313" t="s">
        <v>996</v>
      </c>
      <c r="F313" t="str">
        <f t="shared" si="49"/>
        <v>PMO</v>
      </c>
      <c r="G313" t="str">
        <f t="shared" si="50"/>
        <v>Others</v>
      </c>
      <c r="H313" t="s">
        <v>47</v>
      </c>
      <c r="I313" t="s">
        <v>48</v>
      </c>
      <c r="J313" t="s">
        <v>107</v>
      </c>
      <c r="K313" t="str">
        <f t="shared" si="51"/>
        <v>Tech</v>
      </c>
      <c r="L313" t="str">
        <f t="shared" si="52"/>
        <v>Tech</v>
      </c>
      <c r="M313" t="s">
        <v>261</v>
      </c>
      <c r="N313" t="str">
        <f t="shared" si="53"/>
        <v>C/C++</v>
      </c>
      <c r="O313" t="str">
        <f t="shared" si="54"/>
        <v>C/C++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tr">
        <f t="shared" si="55"/>
        <v>Better Salary</v>
      </c>
      <c r="Y313" t="str">
        <f t="shared" si="56"/>
        <v>Better Salary</v>
      </c>
      <c r="Z313" t="s">
        <v>69</v>
      </c>
      <c r="AA313">
        <v>43</v>
      </c>
      <c r="AB313" t="s">
        <v>569</v>
      </c>
      <c r="AC313" t="str">
        <f t="shared" si="57"/>
        <v>Singapore</v>
      </c>
      <c r="AD313" t="str">
        <f t="shared" si="58"/>
        <v>Others</v>
      </c>
      <c r="AE313" t="s">
        <v>231</v>
      </c>
      <c r="AF313" t="s">
        <v>52</v>
      </c>
      <c r="AG313" t="str">
        <f t="shared" si="48"/>
        <v>Asian or Asian American</v>
      </c>
      <c r="AH313" t="str">
        <f t="shared" si="59"/>
        <v>Asian or Asian American</v>
      </c>
    </row>
    <row r="314" spans="1:34" x14ac:dyDescent="0.25">
      <c r="A314" t="s">
        <v>997</v>
      </c>
      <c r="B314" t="s">
        <v>30</v>
      </c>
      <c r="C314" t="s">
        <v>998</v>
      </c>
      <c r="D314" t="s">
        <v>817</v>
      </c>
      <c r="E314" t="s">
        <v>34</v>
      </c>
      <c r="F314" t="str">
        <f t="shared" si="49"/>
        <v>Data Analyst</v>
      </c>
      <c r="G314" t="str">
        <f t="shared" si="50"/>
        <v>Data Analyst</v>
      </c>
      <c r="H314" t="s">
        <v>35</v>
      </c>
      <c r="I314" t="s">
        <v>57</v>
      </c>
      <c r="J314" t="s">
        <v>49</v>
      </c>
      <c r="K314" t="str">
        <f t="shared" si="51"/>
        <v>Finance</v>
      </c>
      <c r="L314" t="str">
        <f t="shared" si="52"/>
        <v>Finance</v>
      </c>
      <c r="M314" t="s">
        <v>38</v>
      </c>
      <c r="N314" t="str">
        <f t="shared" si="53"/>
        <v>Python</v>
      </c>
      <c r="O314" t="str">
        <f t="shared" si="54"/>
        <v>Python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tr">
        <f t="shared" si="55"/>
        <v>Remote Work</v>
      </c>
      <c r="Y314" t="str">
        <f t="shared" si="56"/>
        <v>Remote Work</v>
      </c>
      <c r="Z314" t="s">
        <v>41</v>
      </c>
      <c r="AA314">
        <v>26</v>
      </c>
      <c r="AB314" t="s">
        <v>999</v>
      </c>
      <c r="AC314" t="str">
        <f t="shared" si="57"/>
        <v>Antigua</v>
      </c>
      <c r="AD314" t="str">
        <f t="shared" si="58"/>
        <v>Others</v>
      </c>
      <c r="AE314" t="s">
        <v>241</v>
      </c>
      <c r="AF314" t="s">
        <v>62</v>
      </c>
      <c r="AG314" t="str">
        <f t="shared" si="48"/>
        <v>Black or African American</v>
      </c>
      <c r="AH314" t="str">
        <f t="shared" si="59"/>
        <v>Black or African American</v>
      </c>
    </row>
    <row r="315" spans="1:34" x14ac:dyDescent="0.25">
      <c r="A315" t="s">
        <v>1000</v>
      </c>
      <c r="B315" t="s">
        <v>30</v>
      </c>
      <c r="C315" t="s">
        <v>1001</v>
      </c>
      <c r="D315" t="s">
        <v>1002</v>
      </c>
      <c r="E315" t="s">
        <v>127</v>
      </c>
      <c r="F315" t="str">
        <f t="shared" si="49"/>
        <v>Student/Looking/None</v>
      </c>
      <c r="G315" t="str">
        <f t="shared" si="50"/>
        <v>Student/Looking/None</v>
      </c>
      <c r="H315" t="s">
        <v>47</v>
      </c>
      <c r="I315" t="s">
        <v>48</v>
      </c>
      <c r="J315" t="s">
        <v>107</v>
      </c>
      <c r="K315" t="str">
        <f t="shared" si="51"/>
        <v>Tech</v>
      </c>
      <c r="L315" t="str">
        <f t="shared" si="52"/>
        <v>Tech</v>
      </c>
      <c r="M315" t="s">
        <v>88</v>
      </c>
      <c r="N315" t="str">
        <f t="shared" si="53"/>
        <v>SQL</v>
      </c>
      <c r="O315" t="str">
        <f t="shared" si="54"/>
        <v>SQL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tr">
        <f t="shared" si="55"/>
        <v>Mix of better salary, good work/life balance, remote work and good culture</v>
      </c>
      <c r="Y315" t="str">
        <f t="shared" si="56"/>
        <v>Others</v>
      </c>
      <c r="Z315" t="s">
        <v>69</v>
      </c>
      <c r="AA315">
        <v>47</v>
      </c>
      <c r="AB315" t="s">
        <v>42</v>
      </c>
      <c r="AC315" t="str">
        <f t="shared" si="57"/>
        <v>United States</v>
      </c>
      <c r="AD315" t="str">
        <f t="shared" si="58"/>
        <v>United States</v>
      </c>
      <c r="AE315" t="s">
        <v>241</v>
      </c>
      <c r="AF315" t="s">
        <v>62</v>
      </c>
      <c r="AG315" t="str">
        <f t="shared" si="48"/>
        <v>Black or African American</v>
      </c>
      <c r="AH315" t="str">
        <f t="shared" si="59"/>
        <v>Black or African American</v>
      </c>
    </row>
    <row r="316" spans="1:34" x14ac:dyDescent="0.25">
      <c r="A316" t="s">
        <v>1004</v>
      </c>
      <c r="B316" t="s">
        <v>30</v>
      </c>
      <c r="C316" t="s">
        <v>1005</v>
      </c>
      <c r="D316" t="s">
        <v>829</v>
      </c>
      <c r="E316" t="s">
        <v>127</v>
      </c>
      <c r="F316" t="str">
        <f t="shared" si="49"/>
        <v>Student/Looking/None</v>
      </c>
      <c r="G316" t="str">
        <f t="shared" si="50"/>
        <v>Student/Looking/None</v>
      </c>
      <c r="H316" t="s">
        <v>35</v>
      </c>
      <c r="I316" t="s">
        <v>57</v>
      </c>
      <c r="J316" t="s">
        <v>49</v>
      </c>
      <c r="K316" t="str">
        <f t="shared" si="51"/>
        <v>Finance</v>
      </c>
      <c r="L316" t="str">
        <f t="shared" si="52"/>
        <v>Finance</v>
      </c>
      <c r="M316" t="s">
        <v>38</v>
      </c>
      <c r="N316" t="str">
        <f t="shared" si="53"/>
        <v>Python</v>
      </c>
      <c r="O316" t="str">
        <f t="shared" si="54"/>
        <v>Python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tr">
        <f t="shared" si="55"/>
        <v>Remote Work</v>
      </c>
      <c r="Y316" t="str">
        <f t="shared" si="56"/>
        <v>Remote Work</v>
      </c>
      <c r="Z316" t="s">
        <v>41</v>
      </c>
      <c r="AA316">
        <v>23</v>
      </c>
      <c r="AB316" t="s">
        <v>423</v>
      </c>
      <c r="AC316" t="str">
        <f t="shared" si="57"/>
        <v>Nigeria</v>
      </c>
      <c r="AD316" t="str">
        <f t="shared" si="58"/>
        <v>Nigeria</v>
      </c>
      <c r="AE316" t="s">
        <v>241</v>
      </c>
      <c r="AF316" t="s">
        <v>62</v>
      </c>
      <c r="AG316" t="str">
        <f t="shared" si="48"/>
        <v>Black or African American</v>
      </c>
      <c r="AH316" t="str">
        <f t="shared" si="59"/>
        <v>Black or African American</v>
      </c>
    </row>
    <row r="317" spans="1:34" x14ac:dyDescent="0.25">
      <c r="A317" t="s">
        <v>1006</v>
      </c>
      <c r="B317" t="s">
        <v>30</v>
      </c>
      <c r="C317" t="s">
        <v>1007</v>
      </c>
      <c r="D317" t="s">
        <v>158</v>
      </c>
      <c r="E317" t="s">
        <v>34</v>
      </c>
      <c r="F317" t="str">
        <f t="shared" si="49"/>
        <v>Data Analyst</v>
      </c>
      <c r="G317" t="str">
        <f t="shared" si="50"/>
        <v>Data Analyst</v>
      </c>
      <c r="H317" t="s">
        <v>35</v>
      </c>
      <c r="I317" t="s">
        <v>57</v>
      </c>
      <c r="J317" t="s">
        <v>107</v>
      </c>
      <c r="K317" t="str">
        <f t="shared" si="51"/>
        <v>Tech</v>
      </c>
      <c r="L317" t="str">
        <f t="shared" si="52"/>
        <v>Tech</v>
      </c>
      <c r="M317" t="s">
        <v>38</v>
      </c>
      <c r="N317" t="str">
        <f t="shared" si="53"/>
        <v>Python</v>
      </c>
      <c r="O317" t="str">
        <f t="shared" si="54"/>
        <v>Python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tr">
        <f t="shared" si="55"/>
        <v>Better Salary</v>
      </c>
      <c r="Y317" t="str">
        <f t="shared" si="56"/>
        <v>Better Salary</v>
      </c>
      <c r="Z317" t="s">
        <v>41</v>
      </c>
      <c r="AA317">
        <v>25</v>
      </c>
      <c r="AB317" t="s">
        <v>448</v>
      </c>
      <c r="AC317" t="str">
        <f t="shared" si="57"/>
        <v>Egypt</v>
      </c>
      <c r="AD317" t="str">
        <f t="shared" si="58"/>
        <v>Egypt</v>
      </c>
      <c r="AE317" t="s">
        <v>241</v>
      </c>
      <c r="AF317" t="s">
        <v>1008</v>
      </c>
      <c r="AG317" t="str">
        <f t="shared" si="48"/>
        <v>Egyp</v>
      </c>
      <c r="AH317" t="str">
        <f t="shared" si="59"/>
        <v>Others</v>
      </c>
    </row>
    <row r="318" spans="1:34" x14ac:dyDescent="0.25">
      <c r="A318" t="s">
        <v>1009</v>
      </c>
      <c r="B318" t="s">
        <v>30</v>
      </c>
      <c r="C318" t="s">
        <v>1010</v>
      </c>
      <c r="D318" t="s">
        <v>375</v>
      </c>
      <c r="E318" t="s">
        <v>1011</v>
      </c>
      <c r="F318" t="str">
        <f t="shared" si="49"/>
        <v>System Administrator</v>
      </c>
      <c r="G318" t="str">
        <f t="shared" si="50"/>
        <v>Others</v>
      </c>
      <c r="H318" t="s">
        <v>47</v>
      </c>
      <c r="I318" t="s">
        <v>57</v>
      </c>
      <c r="J318" t="s">
        <v>49</v>
      </c>
      <c r="K318" t="str">
        <f t="shared" si="51"/>
        <v>Finance</v>
      </c>
      <c r="L318" t="str">
        <f t="shared" si="52"/>
        <v>Finance</v>
      </c>
      <c r="M318" t="s">
        <v>38</v>
      </c>
      <c r="N318" t="str">
        <f t="shared" si="53"/>
        <v>Python</v>
      </c>
      <c r="O318" t="str">
        <f t="shared" si="54"/>
        <v>Python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tr">
        <f t="shared" si="55"/>
        <v>Learning opportunity</v>
      </c>
      <c r="Y318" t="str">
        <f t="shared" si="56"/>
        <v>Others</v>
      </c>
      <c r="Z318" t="s">
        <v>41</v>
      </c>
      <c r="AA318">
        <v>32</v>
      </c>
      <c r="AB318" t="s">
        <v>504</v>
      </c>
      <c r="AC318" t="str">
        <f t="shared" si="57"/>
        <v>Poland</v>
      </c>
      <c r="AD318" t="str">
        <f t="shared" si="58"/>
        <v>Poland</v>
      </c>
      <c r="AE318" t="s">
        <v>244</v>
      </c>
      <c r="AF318" t="s">
        <v>43</v>
      </c>
      <c r="AG318" t="str">
        <f t="shared" si="48"/>
        <v>White or Caucasian</v>
      </c>
      <c r="AH318" t="str">
        <f t="shared" si="59"/>
        <v>White or Caucasian</v>
      </c>
    </row>
    <row r="319" spans="1:34" x14ac:dyDescent="0.25">
      <c r="A319" t="s">
        <v>1013</v>
      </c>
      <c r="B319" t="s">
        <v>30</v>
      </c>
      <c r="C319" t="s">
        <v>1014</v>
      </c>
      <c r="D319" t="s">
        <v>279</v>
      </c>
      <c r="E319" t="s">
        <v>34</v>
      </c>
      <c r="F319" t="str">
        <f t="shared" si="49"/>
        <v>Data Analyst</v>
      </c>
      <c r="G319" t="str">
        <f t="shared" si="50"/>
        <v>Data Analyst</v>
      </c>
      <c r="H319" t="s">
        <v>35</v>
      </c>
      <c r="I319" t="s">
        <v>57</v>
      </c>
      <c r="J319" t="s">
        <v>49</v>
      </c>
      <c r="K319" t="str">
        <f t="shared" si="51"/>
        <v>Finance</v>
      </c>
      <c r="L319" t="str">
        <f t="shared" si="52"/>
        <v>Finance</v>
      </c>
      <c r="M319" t="s">
        <v>38</v>
      </c>
      <c r="N319" t="str">
        <f t="shared" si="53"/>
        <v>Python</v>
      </c>
      <c r="O319" t="str">
        <f t="shared" si="54"/>
        <v>Python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tr">
        <f t="shared" si="55"/>
        <v>Better Salary</v>
      </c>
      <c r="Y319" t="str">
        <f t="shared" si="56"/>
        <v>Better Salary</v>
      </c>
      <c r="Z319" t="s">
        <v>69</v>
      </c>
      <c r="AA319">
        <v>25</v>
      </c>
      <c r="AB319" t="s">
        <v>42</v>
      </c>
      <c r="AC319" t="str">
        <f t="shared" si="57"/>
        <v>United States</v>
      </c>
      <c r="AD319" t="str">
        <f t="shared" si="58"/>
        <v>United States</v>
      </c>
      <c r="AE319" t="s">
        <v>241</v>
      </c>
      <c r="AF319" t="s">
        <v>43</v>
      </c>
      <c r="AG319" t="str">
        <f t="shared" si="48"/>
        <v>White or Caucasian</v>
      </c>
      <c r="AH319" t="str">
        <f t="shared" si="59"/>
        <v>White or Caucasian</v>
      </c>
    </row>
    <row r="320" spans="1:34" x14ac:dyDescent="0.25">
      <c r="A320" t="s">
        <v>1015</v>
      </c>
      <c r="B320" t="s">
        <v>30</v>
      </c>
      <c r="C320" t="s">
        <v>1016</v>
      </c>
      <c r="D320" t="s">
        <v>658</v>
      </c>
      <c r="E320" t="s">
        <v>34</v>
      </c>
      <c r="F320" t="str">
        <f t="shared" si="49"/>
        <v>Data Analyst</v>
      </c>
      <c r="G320" t="str">
        <f t="shared" si="50"/>
        <v>Data Analyst</v>
      </c>
      <c r="H320" t="s">
        <v>47</v>
      </c>
      <c r="I320" t="s">
        <v>57</v>
      </c>
      <c r="J320" t="s">
        <v>49</v>
      </c>
      <c r="K320" t="str">
        <f t="shared" si="51"/>
        <v>Finance</v>
      </c>
      <c r="L320" t="str">
        <f t="shared" si="52"/>
        <v>Finance</v>
      </c>
      <c r="M320" t="s">
        <v>38</v>
      </c>
      <c r="N320" t="str">
        <f t="shared" si="53"/>
        <v>Python</v>
      </c>
      <c r="O320" t="str">
        <f t="shared" si="54"/>
        <v>Python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tr">
        <f t="shared" si="55"/>
        <v>Remote Work</v>
      </c>
      <c r="Y320" t="str">
        <f t="shared" si="56"/>
        <v>Remote Work</v>
      </c>
      <c r="Z320" t="s">
        <v>69</v>
      </c>
      <c r="AA320">
        <v>29</v>
      </c>
      <c r="AB320" t="s">
        <v>1017</v>
      </c>
      <c r="AC320" t="str">
        <f t="shared" si="57"/>
        <v>Venezuela</v>
      </c>
      <c r="AD320" t="str">
        <f t="shared" si="58"/>
        <v>Others</v>
      </c>
      <c r="AE320" t="s">
        <v>241</v>
      </c>
      <c r="AF320" t="s">
        <v>95</v>
      </c>
      <c r="AG320" t="str">
        <f t="shared" si="48"/>
        <v>Hispanic or Latino</v>
      </c>
      <c r="AH320" t="str">
        <f t="shared" si="59"/>
        <v>Hispanic or Latino</v>
      </c>
    </row>
    <row r="321" spans="1:34" x14ac:dyDescent="0.25">
      <c r="A321" t="s">
        <v>1018</v>
      </c>
      <c r="B321" t="s">
        <v>30</v>
      </c>
      <c r="C321" t="s">
        <v>1019</v>
      </c>
      <c r="D321" t="s">
        <v>219</v>
      </c>
      <c r="E321" t="s">
        <v>34</v>
      </c>
      <c r="F321" t="str">
        <f t="shared" si="49"/>
        <v>Data Analyst</v>
      </c>
      <c r="G321" t="str">
        <f t="shared" si="50"/>
        <v>Data Analyst</v>
      </c>
      <c r="H321" t="s">
        <v>47</v>
      </c>
      <c r="I321" t="s">
        <v>48</v>
      </c>
      <c r="J321" t="s">
        <v>37</v>
      </c>
      <c r="K321" t="str">
        <f t="shared" si="51"/>
        <v>Healthcare</v>
      </c>
      <c r="L321" t="str">
        <f t="shared" si="52"/>
        <v>Healthcare</v>
      </c>
      <c r="M321" t="s">
        <v>88</v>
      </c>
      <c r="N321" t="str">
        <f t="shared" si="53"/>
        <v>SQL</v>
      </c>
      <c r="O321" t="str">
        <f t="shared" si="54"/>
        <v>SQL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tr">
        <f t="shared" si="55"/>
        <v>Better Salary</v>
      </c>
      <c r="Y321" t="str">
        <f t="shared" si="56"/>
        <v>Better Salary</v>
      </c>
      <c r="Z321" t="s">
        <v>69</v>
      </c>
      <c r="AA321">
        <v>33</v>
      </c>
      <c r="AB321" t="s">
        <v>42</v>
      </c>
      <c r="AC321" t="str">
        <f t="shared" si="57"/>
        <v>United States</v>
      </c>
      <c r="AD321" t="str">
        <f t="shared" si="58"/>
        <v>United States</v>
      </c>
      <c r="AE321" t="s">
        <v>241</v>
      </c>
      <c r="AF321" t="s">
        <v>52</v>
      </c>
      <c r="AG321" t="str">
        <f t="shared" si="48"/>
        <v>Asian or Asian American</v>
      </c>
      <c r="AH321" t="str">
        <f t="shared" si="59"/>
        <v>Asian or Asian American</v>
      </c>
    </row>
    <row r="322" spans="1:34" x14ac:dyDescent="0.25">
      <c r="A322" t="s">
        <v>1020</v>
      </c>
      <c r="B322" t="s">
        <v>30</v>
      </c>
      <c r="C322" t="s">
        <v>1021</v>
      </c>
      <c r="D322" t="s">
        <v>1022</v>
      </c>
      <c r="E322" t="s">
        <v>34</v>
      </c>
      <c r="F322" t="str">
        <f t="shared" si="49"/>
        <v>Data Analyst</v>
      </c>
      <c r="G322" t="str">
        <f t="shared" si="50"/>
        <v>Data Analyst</v>
      </c>
      <c r="H322" t="s">
        <v>47</v>
      </c>
      <c r="I322" t="s">
        <v>36</v>
      </c>
      <c r="J322" t="s">
        <v>112</v>
      </c>
      <c r="K322" t="str">
        <f t="shared" si="51"/>
        <v>Education</v>
      </c>
      <c r="L322" t="str">
        <f t="shared" si="52"/>
        <v>Education</v>
      </c>
      <c r="M322" t="s">
        <v>38</v>
      </c>
      <c r="N322" t="str">
        <f t="shared" si="53"/>
        <v>Python</v>
      </c>
      <c r="O322" t="str">
        <f t="shared" si="54"/>
        <v>Python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tr">
        <f t="shared" si="55"/>
        <v>Learning New Things</v>
      </c>
      <c r="Y322" t="str">
        <f t="shared" si="56"/>
        <v>Others</v>
      </c>
      <c r="Z322" t="s">
        <v>41</v>
      </c>
      <c r="AA322">
        <v>36</v>
      </c>
      <c r="AB322" t="s">
        <v>42</v>
      </c>
      <c r="AC322" t="str">
        <f t="shared" si="57"/>
        <v>United States</v>
      </c>
      <c r="AD322" t="str">
        <f t="shared" si="58"/>
        <v>United States</v>
      </c>
      <c r="AE322" t="s">
        <v>244</v>
      </c>
      <c r="AF322" t="s">
        <v>52</v>
      </c>
      <c r="AG322" t="str">
        <f t="shared" ref="AG322:AG385" si="60">IF(ISNUMBER(SEARCH("other",AF322)),IF(TRIM(MID(AF322, FIND(")",AF322)+1, LEN(AF322)))="", "Other", TRIM(MID(AF322, FIND(":",AF322)+1, LEN(AF322)))),AF322)</f>
        <v>Asian or Asian American</v>
      </c>
      <c r="AH322" t="str">
        <f t="shared" si="59"/>
        <v>Asian or Asian American</v>
      </c>
    </row>
    <row r="323" spans="1:34" x14ac:dyDescent="0.25">
      <c r="A323" t="s">
        <v>1024</v>
      </c>
      <c r="B323" t="s">
        <v>30</v>
      </c>
      <c r="C323" t="s">
        <v>1025</v>
      </c>
      <c r="D323" t="s">
        <v>321</v>
      </c>
      <c r="E323" t="s">
        <v>34</v>
      </c>
      <c r="F323" t="str">
        <f t="shared" ref="F323:F386" si="61">IF(ISNUMBER(SEARCH("other",E323)),IF(TRIM(MID(E323, FIND(")",E323)+1, LEN(E323)))="", "Other", TRIM(MID(E323, FIND(":",E323)+1, LEN(E323)))),E323)</f>
        <v>Data Analyst</v>
      </c>
      <c r="G323" t="str">
        <f t="shared" ref="G323:G386" si="62">IF(COUNTIF(F:F,F323)&lt;5,"Others",F323)</f>
        <v>Data Analyst</v>
      </c>
      <c r="H323" t="s">
        <v>35</v>
      </c>
      <c r="I323" t="s">
        <v>48</v>
      </c>
      <c r="J323" t="s">
        <v>37</v>
      </c>
      <c r="K323" t="str">
        <f t="shared" ref="K323:K386" si="63">IF(ISNUMBER(SEARCH("other",J323)),IF(TRIM(MID(J323, FIND(")",J323)+1, LEN(J323)))="", "Other", TRIM(MID(J323, FIND(":",J323)+1, LEN(J323)))),J323)</f>
        <v>Healthcare</v>
      </c>
      <c r="L323" t="str">
        <f t="shared" ref="L323:L386" si="64">IF(COUNTIF(K:K,K323)&lt;10,"Others",K323)</f>
        <v>Healthcare</v>
      </c>
      <c r="M323" t="s">
        <v>38</v>
      </c>
      <c r="N323" t="str">
        <f t="shared" ref="N323:N386" si="65">IF(ISNUMBER(SEARCH("other",M323)),IF(TRIM(MID(M323, FIND("Other",M323)+1, LEN(M323)))="", "Other", TRIM(MID(M323, FIND(":",M323)+1, LEN(M323)))),M323)</f>
        <v>Python</v>
      </c>
      <c r="O323" t="str">
        <f t="shared" ref="O323:O386" si="66">IF(COUNTIF(N:N,N323)&lt;5,"Others",N323)</f>
        <v>Python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tr">
        <f t="shared" ref="X323:X386" si="67">IF(ISNUMBER(SEARCH("other",W323)),IF(TRIM(MID(W323, FIND(")",W323)+1, LEN(W323)))="", "Other", TRIM(MID(W323, FIND(":",W323)+1, LEN(W323)))),W323)</f>
        <v>Good Work/Life Balance</v>
      </c>
      <c r="Y323" t="str">
        <f t="shared" ref="Y323:Y386" si="68">IF(COUNTIF(X:X,X323)&lt;5,"Others",X323)</f>
        <v>Good Work/Life Balance</v>
      </c>
      <c r="Z323" t="s">
        <v>41</v>
      </c>
      <c r="AA323">
        <v>25</v>
      </c>
      <c r="AB323" t="s">
        <v>42</v>
      </c>
      <c r="AC323" t="str">
        <f t="shared" ref="AC323:AC386" si="69">IF(ISNUMBER(SEARCH("other",AB323)),IF(TRIM(MID(AB323, FIND(")",AB323)+1, LEN(AB323)))="", "Other", TRIM(MID(AB323, FIND(":",AB323)+1, LEN(AB323)))),AB323)</f>
        <v>United States</v>
      </c>
      <c r="AD323" t="str">
        <f t="shared" ref="AD323:AD386" si="70">IF(COUNTIF(AC:AC,AC323)&lt;5,"Others",AC323)</f>
        <v>United States</v>
      </c>
      <c r="AE323" t="s">
        <v>241</v>
      </c>
      <c r="AF323" t="s">
        <v>43</v>
      </c>
      <c r="AG323" t="str">
        <f t="shared" si="60"/>
        <v>White or Caucasian</v>
      </c>
      <c r="AH323" t="str">
        <f t="shared" ref="AH323:AH386" si="71">IF(COUNTIF(AG:AG,AG323)&lt;5,"Others",AG323)</f>
        <v>White or Caucasian</v>
      </c>
    </row>
    <row r="324" spans="1:34" x14ac:dyDescent="0.25">
      <c r="A324" t="s">
        <v>1026</v>
      </c>
      <c r="B324" t="s">
        <v>30</v>
      </c>
      <c r="C324" t="s">
        <v>1027</v>
      </c>
      <c r="D324" t="s">
        <v>1028</v>
      </c>
      <c r="E324" t="s">
        <v>81</v>
      </c>
      <c r="F324" t="str">
        <f t="shared" si="61"/>
        <v>Data Scientist</v>
      </c>
      <c r="G324" t="str">
        <f t="shared" si="62"/>
        <v>Data Scientist</v>
      </c>
      <c r="H324" t="s">
        <v>47</v>
      </c>
      <c r="I324" t="s">
        <v>67</v>
      </c>
      <c r="J324" t="s">
        <v>82</v>
      </c>
      <c r="K324" t="str">
        <f t="shared" si="63"/>
        <v>Other</v>
      </c>
      <c r="L324" t="str">
        <f t="shared" si="64"/>
        <v>Others</v>
      </c>
      <c r="M324" t="s">
        <v>38</v>
      </c>
      <c r="N324" t="str">
        <f t="shared" si="65"/>
        <v>Python</v>
      </c>
      <c r="O324" t="str">
        <f t="shared" si="66"/>
        <v>Python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tr">
        <f t="shared" si="67"/>
        <v>Good Work/Life Balance</v>
      </c>
      <c r="Y324" t="str">
        <f t="shared" si="68"/>
        <v>Good Work/Life Balance</v>
      </c>
      <c r="Z324" t="s">
        <v>41</v>
      </c>
      <c r="AA324">
        <v>38</v>
      </c>
      <c r="AB324" t="s">
        <v>42</v>
      </c>
      <c r="AC324" t="str">
        <f t="shared" si="69"/>
        <v>United States</v>
      </c>
      <c r="AD324" t="str">
        <f t="shared" si="70"/>
        <v>United States</v>
      </c>
      <c r="AE324" t="s">
        <v>244</v>
      </c>
      <c r="AF324" t="s">
        <v>43</v>
      </c>
      <c r="AG324" t="str">
        <f t="shared" si="60"/>
        <v>White or Caucasian</v>
      </c>
      <c r="AH324" t="str">
        <f t="shared" si="71"/>
        <v>White or Caucasian</v>
      </c>
    </row>
    <row r="325" spans="1:34" x14ac:dyDescent="0.25">
      <c r="A325" t="s">
        <v>1029</v>
      </c>
      <c r="B325" t="s">
        <v>30</v>
      </c>
      <c r="C325" t="s">
        <v>1030</v>
      </c>
      <c r="D325" t="s">
        <v>535</v>
      </c>
      <c r="E325" t="s">
        <v>34</v>
      </c>
      <c r="F325" t="str">
        <f t="shared" si="61"/>
        <v>Data Analyst</v>
      </c>
      <c r="G325" t="str">
        <f t="shared" si="62"/>
        <v>Data Analyst</v>
      </c>
      <c r="H325" t="s">
        <v>35</v>
      </c>
      <c r="I325" t="s">
        <v>98</v>
      </c>
      <c r="J325" t="s">
        <v>164</v>
      </c>
      <c r="K325" t="str">
        <f t="shared" si="63"/>
        <v>Oil and gas</v>
      </c>
      <c r="L325" t="str">
        <f t="shared" si="64"/>
        <v>Others</v>
      </c>
      <c r="M325" t="s">
        <v>50</v>
      </c>
      <c r="N325" t="str">
        <f t="shared" si="65"/>
        <v>R</v>
      </c>
      <c r="O325" t="str">
        <f t="shared" si="66"/>
        <v>R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tr">
        <f t="shared" si="67"/>
        <v>Good Work/Life Balance</v>
      </c>
      <c r="Y325" t="str">
        <f t="shared" si="68"/>
        <v>Good Work/Life Balance</v>
      </c>
      <c r="Z325" t="s">
        <v>41</v>
      </c>
      <c r="AA325">
        <v>30</v>
      </c>
      <c r="AB325" t="s">
        <v>42</v>
      </c>
      <c r="AC325" t="str">
        <f t="shared" si="69"/>
        <v>United States</v>
      </c>
      <c r="AD325" t="str">
        <f t="shared" si="70"/>
        <v>United States</v>
      </c>
      <c r="AE325" t="s">
        <v>244</v>
      </c>
      <c r="AF325" t="s">
        <v>1031</v>
      </c>
      <c r="AG325" t="str">
        <f t="shared" si="60"/>
        <v>Half black and half white</v>
      </c>
      <c r="AH325" t="str">
        <f t="shared" si="71"/>
        <v>Others</v>
      </c>
    </row>
    <row r="326" spans="1:34" x14ac:dyDescent="0.25">
      <c r="A326" t="s">
        <v>1032</v>
      </c>
      <c r="B326" t="s">
        <v>30</v>
      </c>
      <c r="C326" t="s">
        <v>1033</v>
      </c>
      <c r="D326" t="s">
        <v>531</v>
      </c>
      <c r="E326" t="s">
        <v>34</v>
      </c>
      <c r="F326" t="str">
        <f t="shared" si="61"/>
        <v>Data Analyst</v>
      </c>
      <c r="G326" t="str">
        <f t="shared" si="62"/>
        <v>Data Analyst</v>
      </c>
      <c r="H326" t="s">
        <v>35</v>
      </c>
      <c r="I326" t="s">
        <v>48</v>
      </c>
      <c r="J326" t="s">
        <v>107</v>
      </c>
      <c r="K326" t="str">
        <f t="shared" si="63"/>
        <v>Tech</v>
      </c>
      <c r="L326" t="str">
        <f t="shared" si="64"/>
        <v>Tech</v>
      </c>
      <c r="M326" t="s">
        <v>38</v>
      </c>
      <c r="N326" t="str">
        <f t="shared" si="65"/>
        <v>Python</v>
      </c>
      <c r="O326" t="str">
        <f t="shared" si="66"/>
        <v>Python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tr">
        <f t="shared" si="67"/>
        <v>Good Culture</v>
      </c>
      <c r="Y326" t="str">
        <f t="shared" si="68"/>
        <v>Good Culture</v>
      </c>
      <c r="Z326" t="s">
        <v>41</v>
      </c>
      <c r="AA326">
        <v>35</v>
      </c>
      <c r="AB326" t="s">
        <v>42</v>
      </c>
      <c r="AC326" t="str">
        <f t="shared" si="69"/>
        <v>United States</v>
      </c>
      <c r="AD326" t="str">
        <f t="shared" si="70"/>
        <v>United States</v>
      </c>
      <c r="AE326" t="s">
        <v>244</v>
      </c>
      <c r="AF326" t="s">
        <v>62</v>
      </c>
      <c r="AG326" t="str">
        <f t="shared" si="60"/>
        <v>Black or African American</v>
      </c>
      <c r="AH326" t="str">
        <f t="shared" si="71"/>
        <v>Black or African American</v>
      </c>
    </row>
    <row r="327" spans="1:34" x14ac:dyDescent="0.25">
      <c r="A327" t="s">
        <v>1034</v>
      </c>
      <c r="B327" t="s">
        <v>30</v>
      </c>
      <c r="C327" t="s">
        <v>1035</v>
      </c>
      <c r="D327" t="s">
        <v>254</v>
      </c>
      <c r="E327" t="s">
        <v>1036</v>
      </c>
      <c r="F327" t="str">
        <f t="shared" si="61"/>
        <v>Teacher</v>
      </c>
      <c r="G327" t="str">
        <f t="shared" si="62"/>
        <v>Others</v>
      </c>
      <c r="H327" t="s">
        <v>47</v>
      </c>
      <c r="I327" t="s">
        <v>48</v>
      </c>
      <c r="J327" t="s">
        <v>112</v>
      </c>
      <c r="K327" t="str">
        <f t="shared" si="63"/>
        <v>Education</v>
      </c>
      <c r="L327" t="str">
        <f t="shared" si="64"/>
        <v>Education</v>
      </c>
      <c r="M327" t="s">
        <v>1037</v>
      </c>
      <c r="N327" t="str">
        <f t="shared" si="65"/>
        <v>SQL because that is all I know really well so far.</v>
      </c>
      <c r="O327" t="str">
        <f t="shared" si="66"/>
        <v>Others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tr">
        <f t="shared" si="67"/>
        <v>Better Salary</v>
      </c>
      <c r="Y327" t="str">
        <f t="shared" si="68"/>
        <v>Better Salary</v>
      </c>
      <c r="Z327" t="s">
        <v>69</v>
      </c>
      <c r="AA327">
        <v>42</v>
      </c>
      <c r="AB327" t="s">
        <v>42</v>
      </c>
      <c r="AC327" t="str">
        <f t="shared" si="69"/>
        <v>United States</v>
      </c>
      <c r="AD327" t="str">
        <f t="shared" si="70"/>
        <v>United States</v>
      </c>
      <c r="AE327" t="s">
        <v>241</v>
      </c>
      <c r="AF327" t="s">
        <v>43</v>
      </c>
      <c r="AG327" t="str">
        <f t="shared" si="60"/>
        <v>White or Caucasian</v>
      </c>
      <c r="AH327" t="str">
        <f t="shared" si="71"/>
        <v>White or Caucasian</v>
      </c>
    </row>
    <row r="328" spans="1:34" x14ac:dyDescent="0.25">
      <c r="A328" t="s">
        <v>1038</v>
      </c>
      <c r="B328" t="s">
        <v>30</v>
      </c>
      <c r="C328" t="s">
        <v>1039</v>
      </c>
      <c r="D328" t="s">
        <v>686</v>
      </c>
      <c r="E328" t="s">
        <v>34</v>
      </c>
      <c r="F328" t="str">
        <f t="shared" si="61"/>
        <v>Data Analyst</v>
      </c>
      <c r="G328" t="str">
        <f t="shared" si="62"/>
        <v>Data Analyst</v>
      </c>
      <c r="H328" t="s">
        <v>35</v>
      </c>
      <c r="I328" t="s">
        <v>98</v>
      </c>
      <c r="J328" t="s">
        <v>37</v>
      </c>
      <c r="K328" t="str">
        <f t="shared" si="63"/>
        <v>Healthcare</v>
      </c>
      <c r="L328" t="str">
        <f t="shared" si="64"/>
        <v>Healthcare</v>
      </c>
      <c r="M328" t="s">
        <v>38</v>
      </c>
      <c r="N328" t="str">
        <f t="shared" si="65"/>
        <v>Python</v>
      </c>
      <c r="O328" t="str">
        <f t="shared" si="66"/>
        <v>Python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tr">
        <f t="shared" si="67"/>
        <v>Remote Work</v>
      </c>
      <c r="Y328" t="str">
        <f t="shared" si="68"/>
        <v>Remote Work</v>
      </c>
      <c r="Z328" t="s">
        <v>41</v>
      </c>
      <c r="AA328">
        <v>30</v>
      </c>
      <c r="AB328" t="s">
        <v>42</v>
      </c>
      <c r="AC328" t="str">
        <f t="shared" si="69"/>
        <v>United States</v>
      </c>
      <c r="AD328" t="str">
        <f t="shared" si="70"/>
        <v>United States</v>
      </c>
      <c r="AE328" t="s">
        <v>244</v>
      </c>
      <c r="AF328" t="s">
        <v>43</v>
      </c>
      <c r="AG328" t="str">
        <f t="shared" si="60"/>
        <v>White or Caucasian</v>
      </c>
      <c r="AH328" t="str">
        <f t="shared" si="71"/>
        <v>White or Caucasian</v>
      </c>
    </row>
    <row r="329" spans="1:34" x14ac:dyDescent="0.25">
      <c r="A329" t="s">
        <v>1040</v>
      </c>
      <c r="B329" t="s">
        <v>30</v>
      </c>
      <c r="C329" t="s">
        <v>1041</v>
      </c>
      <c r="D329" t="s">
        <v>233</v>
      </c>
      <c r="E329" t="s">
        <v>127</v>
      </c>
      <c r="F329" t="str">
        <f t="shared" si="61"/>
        <v>Student/Looking/None</v>
      </c>
      <c r="G329" t="str">
        <f t="shared" si="62"/>
        <v>Student/Looking/None</v>
      </c>
      <c r="H329" t="s">
        <v>35</v>
      </c>
      <c r="I329" t="s">
        <v>57</v>
      </c>
      <c r="J329" t="s">
        <v>1042</v>
      </c>
      <c r="K329" t="str">
        <f t="shared" si="63"/>
        <v>None</v>
      </c>
      <c r="L329" t="str">
        <f t="shared" si="64"/>
        <v>Others</v>
      </c>
      <c r="M329" t="s">
        <v>38</v>
      </c>
      <c r="N329" t="str">
        <f t="shared" si="65"/>
        <v>Python</v>
      </c>
      <c r="O329" t="str">
        <f t="shared" si="66"/>
        <v>Python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tr">
        <f t="shared" si="67"/>
        <v>Better Salary</v>
      </c>
      <c r="Y329" t="str">
        <f t="shared" si="68"/>
        <v>Better Salary</v>
      </c>
      <c r="Z329" t="s">
        <v>69</v>
      </c>
      <c r="AA329">
        <v>25</v>
      </c>
      <c r="AB329" t="s">
        <v>61</v>
      </c>
      <c r="AC329" t="str">
        <f t="shared" si="69"/>
        <v>Nigeria</v>
      </c>
      <c r="AD329" t="str">
        <f t="shared" si="70"/>
        <v>Nigeria</v>
      </c>
      <c r="AE329" t="s">
        <v>241</v>
      </c>
      <c r="AF329" t="s">
        <v>62</v>
      </c>
      <c r="AG329" t="str">
        <f t="shared" si="60"/>
        <v>Black or African American</v>
      </c>
      <c r="AH329" t="str">
        <f t="shared" si="71"/>
        <v>Black or African American</v>
      </c>
    </row>
    <row r="330" spans="1:34" x14ac:dyDescent="0.25">
      <c r="A330" t="s">
        <v>1043</v>
      </c>
      <c r="B330" t="s">
        <v>30</v>
      </c>
      <c r="C330" t="s">
        <v>1044</v>
      </c>
      <c r="D330" t="s">
        <v>1045</v>
      </c>
      <c r="E330" t="s">
        <v>34</v>
      </c>
      <c r="F330" t="str">
        <f t="shared" si="61"/>
        <v>Data Analyst</v>
      </c>
      <c r="G330" t="str">
        <f t="shared" si="62"/>
        <v>Data Analyst</v>
      </c>
      <c r="H330" t="s">
        <v>47</v>
      </c>
      <c r="I330" t="s">
        <v>91</v>
      </c>
      <c r="J330" t="s">
        <v>37</v>
      </c>
      <c r="K330" t="str">
        <f t="shared" si="63"/>
        <v>Healthcare</v>
      </c>
      <c r="L330" t="str">
        <f t="shared" si="64"/>
        <v>Healthcare</v>
      </c>
      <c r="M330" t="s">
        <v>38</v>
      </c>
      <c r="N330" t="str">
        <f t="shared" si="65"/>
        <v>Python</v>
      </c>
      <c r="O330" t="str">
        <f t="shared" si="66"/>
        <v>Python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tr">
        <f t="shared" si="67"/>
        <v>Good Culture</v>
      </c>
      <c r="Y330" t="str">
        <f t="shared" si="68"/>
        <v>Good Culture</v>
      </c>
      <c r="Z330" t="s">
        <v>69</v>
      </c>
      <c r="AA330">
        <v>28</v>
      </c>
      <c r="AB330" t="s">
        <v>42</v>
      </c>
      <c r="AC330" t="str">
        <f t="shared" si="69"/>
        <v>United States</v>
      </c>
      <c r="AD330" t="str">
        <f t="shared" si="70"/>
        <v>United States</v>
      </c>
      <c r="AE330" t="s">
        <v>241</v>
      </c>
      <c r="AF330" t="s">
        <v>52</v>
      </c>
      <c r="AG330" t="str">
        <f t="shared" si="60"/>
        <v>Asian or Asian American</v>
      </c>
      <c r="AH330" t="str">
        <f t="shared" si="71"/>
        <v>Asian or Asian American</v>
      </c>
    </row>
    <row r="331" spans="1:34" x14ac:dyDescent="0.25">
      <c r="A331" t="s">
        <v>1046</v>
      </c>
      <c r="B331" t="s">
        <v>30</v>
      </c>
      <c r="C331" t="s">
        <v>1047</v>
      </c>
      <c r="D331" t="s">
        <v>1048</v>
      </c>
      <c r="E331" t="s">
        <v>34</v>
      </c>
      <c r="F331" t="str">
        <f t="shared" si="61"/>
        <v>Data Analyst</v>
      </c>
      <c r="G331" t="str">
        <f t="shared" si="62"/>
        <v>Data Analyst</v>
      </c>
      <c r="H331" t="s">
        <v>35</v>
      </c>
      <c r="I331" t="s">
        <v>57</v>
      </c>
      <c r="J331" t="s">
        <v>1049</v>
      </c>
      <c r="K331" t="str">
        <f t="shared" si="63"/>
        <v>Manuf</v>
      </c>
      <c r="L331" t="str">
        <f t="shared" si="64"/>
        <v>Others</v>
      </c>
      <c r="M331" t="s">
        <v>38</v>
      </c>
      <c r="N331" t="str">
        <f t="shared" si="65"/>
        <v>Python</v>
      </c>
      <c r="O331" t="str">
        <f t="shared" si="66"/>
        <v>Python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tr">
        <f t="shared" si="67"/>
        <v>Salary and expo</v>
      </c>
      <c r="Y331" t="str">
        <f t="shared" si="68"/>
        <v>Others</v>
      </c>
      <c r="Z331" t="s">
        <v>41</v>
      </c>
      <c r="AA331">
        <v>28</v>
      </c>
      <c r="AB331" t="s">
        <v>51</v>
      </c>
      <c r="AC331" t="str">
        <f t="shared" si="69"/>
        <v>Canada</v>
      </c>
      <c r="AD331" t="str">
        <f t="shared" si="70"/>
        <v>Canada</v>
      </c>
      <c r="AE331" t="s">
        <v>241</v>
      </c>
      <c r="AF331" t="s">
        <v>52</v>
      </c>
      <c r="AG331" t="str">
        <f t="shared" si="60"/>
        <v>Asian or Asian American</v>
      </c>
      <c r="AH331" t="str">
        <f t="shared" si="71"/>
        <v>Asian or Asian American</v>
      </c>
    </row>
    <row r="332" spans="1:34" x14ac:dyDescent="0.25">
      <c r="A332" t="s">
        <v>1051</v>
      </c>
      <c r="B332" t="s">
        <v>30</v>
      </c>
      <c r="C332" t="s">
        <v>1052</v>
      </c>
      <c r="D332" t="s">
        <v>704</v>
      </c>
      <c r="E332" t="s">
        <v>127</v>
      </c>
      <c r="F332" t="str">
        <f t="shared" si="61"/>
        <v>Student/Looking/None</v>
      </c>
      <c r="G332" t="str">
        <f t="shared" si="62"/>
        <v>Student/Looking/None</v>
      </c>
      <c r="H332" t="s">
        <v>47</v>
      </c>
      <c r="I332" t="s">
        <v>57</v>
      </c>
      <c r="J332" t="s">
        <v>1053</v>
      </c>
      <c r="K332" t="str">
        <f t="shared" si="63"/>
        <v>Student</v>
      </c>
      <c r="L332" t="str">
        <f t="shared" si="64"/>
        <v>Others</v>
      </c>
      <c r="M332" t="s">
        <v>322</v>
      </c>
      <c r="N332" t="str">
        <f t="shared" si="65"/>
        <v>Sql</v>
      </c>
      <c r="O332" t="str">
        <f t="shared" si="66"/>
        <v>Sql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tr">
        <f t="shared" si="67"/>
        <v>Better Salary</v>
      </c>
      <c r="Y332" t="str">
        <f t="shared" si="68"/>
        <v>Better Salary</v>
      </c>
      <c r="Z332" t="s">
        <v>41</v>
      </c>
      <c r="AA332">
        <v>20</v>
      </c>
      <c r="AB332" t="s">
        <v>748</v>
      </c>
      <c r="AC332" t="str">
        <f t="shared" si="69"/>
        <v>Malaysia</v>
      </c>
      <c r="AD332" t="str">
        <f t="shared" si="70"/>
        <v>Others</v>
      </c>
      <c r="AE332" t="s">
        <v>231</v>
      </c>
      <c r="AF332" t="s">
        <v>52</v>
      </c>
      <c r="AG332" t="str">
        <f t="shared" si="60"/>
        <v>Asian or Asian American</v>
      </c>
      <c r="AH332" t="str">
        <f t="shared" si="71"/>
        <v>Asian or Asian American</v>
      </c>
    </row>
    <row r="333" spans="1:34" x14ac:dyDescent="0.25">
      <c r="A333" t="s">
        <v>1054</v>
      </c>
      <c r="B333" t="s">
        <v>30</v>
      </c>
      <c r="C333" t="s">
        <v>1055</v>
      </c>
      <c r="D333" t="s">
        <v>1056</v>
      </c>
      <c r="E333" t="s">
        <v>34</v>
      </c>
      <c r="F333" t="str">
        <f t="shared" si="61"/>
        <v>Data Analyst</v>
      </c>
      <c r="G333" t="str">
        <f t="shared" si="62"/>
        <v>Data Analyst</v>
      </c>
      <c r="H333" t="s">
        <v>35</v>
      </c>
      <c r="I333" t="s">
        <v>36</v>
      </c>
      <c r="J333" t="s">
        <v>117</v>
      </c>
      <c r="K333" t="str">
        <f t="shared" si="63"/>
        <v>Construction</v>
      </c>
      <c r="L333" t="str">
        <f t="shared" si="64"/>
        <v>Construction</v>
      </c>
      <c r="M333" t="s">
        <v>1057</v>
      </c>
      <c r="N333" t="str">
        <f t="shared" si="65"/>
        <v>VBA</v>
      </c>
      <c r="O333" t="str">
        <f t="shared" si="66"/>
        <v>Others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tr">
        <f t="shared" si="67"/>
        <v>Good Culture</v>
      </c>
      <c r="Y333" t="str">
        <f t="shared" si="68"/>
        <v>Good Culture</v>
      </c>
      <c r="Z333" t="s">
        <v>41</v>
      </c>
      <c r="AA333">
        <v>33</v>
      </c>
      <c r="AB333" t="s">
        <v>42</v>
      </c>
      <c r="AC333" t="str">
        <f t="shared" si="69"/>
        <v>United States</v>
      </c>
      <c r="AD333" t="str">
        <f t="shared" si="70"/>
        <v>United States</v>
      </c>
      <c r="AE333" t="s">
        <v>244</v>
      </c>
      <c r="AF333" t="s">
        <v>95</v>
      </c>
      <c r="AG333" t="str">
        <f t="shared" si="60"/>
        <v>Hispanic or Latino</v>
      </c>
      <c r="AH333" t="str">
        <f t="shared" si="71"/>
        <v>Hispanic or Latino</v>
      </c>
    </row>
    <row r="334" spans="1:34" x14ac:dyDescent="0.25">
      <c r="A334" t="s">
        <v>1058</v>
      </c>
      <c r="B334" t="s">
        <v>30</v>
      </c>
      <c r="C334" t="s">
        <v>1059</v>
      </c>
      <c r="D334" t="s">
        <v>1060</v>
      </c>
      <c r="E334" t="s">
        <v>34</v>
      </c>
      <c r="F334" t="str">
        <f t="shared" si="61"/>
        <v>Data Analyst</v>
      </c>
      <c r="G334" t="str">
        <f t="shared" si="62"/>
        <v>Data Analyst</v>
      </c>
      <c r="H334" t="s">
        <v>47</v>
      </c>
      <c r="I334" t="s">
        <v>98</v>
      </c>
      <c r="J334" t="s">
        <v>107</v>
      </c>
      <c r="K334" t="str">
        <f t="shared" si="63"/>
        <v>Tech</v>
      </c>
      <c r="L334" t="str">
        <f t="shared" si="64"/>
        <v>Tech</v>
      </c>
      <c r="M334" t="s">
        <v>38</v>
      </c>
      <c r="N334" t="str">
        <f t="shared" si="65"/>
        <v>Python</v>
      </c>
      <c r="O334" t="str">
        <f t="shared" si="66"/>
        <v>Python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tr">
        <f t="shared" si="67"/>
        <v>Better Salary</v>
      </c>
      <c r="Y334" t="str">
        <f t="shared" si="68"/>
        <v>Better Salary</v>
      </c>
      <c r="Z334" t="s">
        <v>41</v>
      </c>
      <c r="AA334">
        <v>23</v>
      </c>
      <c r="AB334" t="s">
        <v>42</v>
      </c>
      <c r="AC334" t="str">
        <f t="shared" si="69"/>
        <v>United States</v>
      </c>
      <c r="AD334" t="str">
        <f t="shared" si="70"/>
        <v>United States</v>
      </c>
      <c r="AE334" t="s">
        <v>266</v>
      </c>
      <c r="AF334" t="s">
        <v>43</v>
      </c>
      <c r="AG334" t="str">
        <f t="shared" si="60"/>
        <v>White or Caucasian</v>
      </c>
      <c r="AH334" t="str">
        <f t="shared" si="71"/>
        <v>White or Caucasian</v>
      </c>
    </row>
    <row r="335" spans="1:34" x14ac:dyDescent="0.25">
      <c r="A335" t="s">
        <v>1061</v>
      </c>
      <c r="B335" t="s">
        <v>30</v>
      </c>
      <c r="C335" t="s">
        <v>1062</v>
      </c>
      <c r="D335" t="s">
        <v>1063</v>
      </c>
      <c r="E335" t="s">
        <v>34</v>
      </c>
      <c r="F335" t="str">
        <f t="shared" si="61"/>
        <v>Data Analyst</v>
      </c>
      <c r="G335" t="str">
        <f t="shared" si="62"/>
        <v>Data Analyst</v>
      </c>
      <c r="H335" t="s">
        <v>35</v>
      </c>
      <c r="I335" t="s">
        <v>57</v>
      </c>
      <c r="J335" t="s">
        <v>37</v>
      </c>
      <c r="K335" t="str">
        <f t="shared" si="63"/>
        <v>Healthcare</v>
      </c>
      <c r="L335" t="str">
        <f t="shared" si="64"/>
        <v>Healthcare</v>
      </c>
      <c r="M335" t="s">
        <v>50</v>
      </c>
      <c r="N335" t="str">
        <f t="shared" si="65"/>
        <v>R</v>
      </c>
      <c r="O335" t="str">
        <f t="shared" si="66"/>
        <v>R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tr">
        <f t="shared" si="67"/>
        <v>Better Salary</v>
      </c>
      <c r="Y335" t="str">
        <f t="shared" si="68"/>
        <v>Better Salary</v>
      </c>
      <c r="Z335" t="s">
        <v>69</v>
      </c>
      <c r="AA335">
        <v>35</v>
      </c>
      <c r="AB335" t="s">
        <v>1064</v>
      </c>
      <c r="AC335" t="str">
        <f t="shared" si="69"/>
        <v>Brazik</v>
      </c>
      <c r="AD335" t="str">
        <f t="shared" si="70"/>
        <v>Others</v>
      </c>
      <c r="AE335" t="s">
        <v>241</v>
      </c>
      <c r="AF335" t="s">
        <v>95</v>
      </c>
      <c r="AG335" t="str">
        <f t="shared" si="60"/>
        <v>Hispanic or Latino</v>
      </c>
      <c r="AH335" t="str">
        <f t="shared" si="71"/>
        <v>Hispanic or Latino</v>
      </c>
    </row>
    <row r="336" spans="1:34" x14ac:dyDescent="0.25">
      <c r="A336" t="s">
        <v>1065</v>
      </c>
      <c r="B336" t="s">
        <v>30</v>
      </c>
      <c r="C336" t="s">
        <v>1066</v>
      </c>
      <c r="D336" t="s">
        <v>1067</v>
      </c>
      <c r="E336" t="s">
        <v>127</v>
      </c>
      <c r="F336" t="str">
        <f t="shared" si="61"/>
        <v>Student/Looking/None</v>
      </c>
      <c r="G336" t="str">
        <f t="shared" si="62"/>
        <v>Student/Looking/None</v>
      </c>
      <c r="H336" t="s">
        <v>35</v>
      </c>
      <c r="I336" t="s">
        <v>57</v>
      </c>
      <c r="J336" t="s">
        <v>1068</v>
      </c>
      <c r="K336" t="str">
        <f t="shared" si="63"/>
        <v>Automobile Industry</v>
      </c>
      <c r="L336" t="str">
        <f t="shared" si="64"/>
        <v>Others</v>
      </c>
      <c r="M336" t="s">
        <v>38</v>
      </c>
      <c r="N336" t="str">
        <f t="shared" si="65"/>
        <v>Python</v>
      </c>
      <c r="O336" t="str">
        <f t="shared" si="66"/>
        <v>Python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tr">
        <f t="shared" si="67"/>
        <v>Good Work/Life Balance</v>
      </c>
      <c r="Y336" t="str">
        <f t="shared" si="68"/>
        <v>Good Work/Life Balance</v>
      </c>
      <c r="Z336" t="s">
        <v>41</v>
      </c>
      <c r="AA336">
        <v>22</v>
      </c>
      <c r="AB336" t="s">
        <v>151</v>
      </c>
      <c r="AC336" t="str">
        <f t="shared" si="69"/>
        <v>India</v>
      </c>
      <c r="AD336" t="str">
        <f t="shared" si="70"/>
        <v>India</v>
      </c>
      <c r="AE336" t="s">
        <v>241</v>
      </c>
      <c r="AF336" t="s">
        <v>52</v>
      </c>
      <c r="AG336" t="str">
        <f t="shared" si="60"/>
        <v>Asian or Asian American</v>
      </c>
      <c r="AH336" t="str">
        <f t="shared" si="71"/>
        <v>Asian or Asian American</v>
      </c>
    </row>
    <row r="337" spans="1:34" x14ac:dyDescent="0.25">
      <c r="A337" t="s">
        <v>1069</v>
      </c>
      <c r="B337" t="s">
        <v>30</v>
      </c>
      <c r="C337" t="s">
        <v>1070</v>
      </c>
      <c r="D337" t="s">
        <v>658</v>
      </c>
      <c r="E337" t="s">
        <v>34</v>
      </c>
      <c r="F337" t="str">
        <f t="shared" si="61"/>
        <v>Data Analyst</v>
      </c>
      <c r="G337" t="str">
        <f t="shared" si="62"/>
        <v>Data Analyst</v>
      </c>
      <c r="H337" t="s">
        <v>35</v>
      </c>
      <c r="I337" t="s">
        <v>57</v>
      </c>
      <c r="J337" t="s">
        <v>107</v>
      </c>
      <c r="K337" t="str">
        <f t="shared" si="63"/>
        <v>Tech</v>
      </c>
      <c r="L337" t="str">
        <f t="shared" si="64"/>
        <v>Tech</v>
      </c>
      <c r="M337" t="s">
        <v>38</v>
      </c>
      <c r="N337" t="str">
        <f t="shared" si="65"/>
        <v>Python</v>
      </c>
      <c r="O337" t="str">
        <f t="shared" si="66"/>
        <v>Python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tr">
        <f t="shared" si="67"/>
        <v>Better Salary</v>
      </c>
      <c r="Y337" t="str">
        <f t="shared" si="68"/>
        <v>Better Salary</v>
      </c>
      <c r="Z337" t="s">
        <v>41</v>
      </c>
      <c r="AA337">
        <v>33</v>
      </c>
      <c r="AB337" t="s">
        <v>151</v>
      </c>
      <c r="AC337" t="str">
        <f t="shared" si="69"/>
        <v>India</v>
      </c>
      <c r="AD337" t="str">
        <f t="shared" si="70"/>
        <v>India</v>
      </c>
      <c r="AE337" t="s">
        <v>241</v>
      </c>
      <c r="AF337" t="s">
        <v>52</v>
      </c>
      <c r="AG337" t="str">
        <f t="shared" si="60"/>
        <v>Asian or Asian American</v>
      </c>
      <c r="AH337" t="str">
        <f t="shared" si="71"/>
        <v>Asian or Asian American</v>
      </c>
    </row>
    <row r="338" spans="1:34" x14ac:dyDescent="0.25">
      <c r="A338" t="s">
        <v>1071</v>
      </c>
      <c r="B338" t="s">
        <v>30</v>
      </c>
      <c r="C338" t="s">
        <v>1072</v>
      </c>
      <c r="D338" t="s">
        <v>704</v>
      </c>
      <c r="E338" t="s">
        <v>56</v>
      </c>
      <c r="F338" t="str">
        <f t="shared" si="61"/>
        <v>Data Engineer</v>
      </c>
      <c r="G338" t="str">
        <f t="shared" si="62"/>
        <v>Data Engineer</v>
      </c>
      <c r="H338" t="s">
        <v>47</v>
      </c>
      <c r="I338" t="s">
        <v>57</v>
      </c>
      <c r="J338" t="s">
        <v>716</v>
      </c>
      <c r="K338" t="str">
        <f t="shared" si="63"/>
        <v>Real Estate</v>
      </c>
      <c r="L338" t="str">
        <f t="shared" si="64"/>
        <v>Real Estate</v>
      </c>
      <c r="M338" t="s">
        <v>38</v>
      </c>
      <c r="N338" t="str">
        <f t="shared" si="65"/>
        <v>Python</v>
      </c>
      <c r="O338" t="str">
        <f t="shared" si="66"/>
        <v>Python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tr">
        <f t="shared" si="67"/>
        <v>Better Salary</v>
      </c>
      <c r="Y338" t="str">
        <f t="shared" si="68"/>
        <v>Better Salary</v>
      </c>
      <c r="Z338" t="s">
        <v>41</v>
      </c>
      <c r="AA338">
        <v>22</v>
      </c>
      <c r="AB338" t="s">
        <v>42</v>
      </c>
      <c r="AC338" t="str">
        <f t="shared" si="69"/>
        <v>United States</v>
      </c>
      <c r="AD338" t="str">
        <f t="shared" si="70"/>
        <v>United States</v>
      </c>
      <c r="AE338" t="s">
        <v>241</v>
      </c>
      <c r="AF338" t="s">
        <v>43</v>
      </c>
      <c r="AG338" t="str">
        <f t="shared" si="60"/>
        <v>White or Caucasian</v>
      </c>
      <c r="AH338" t="str">
        <f t="shared" si="71"/>
        <v>White or Caucasian</v>
      </c>
    </row>
    <row r="339" spans="1:34" x14ac:dyDescent="0.25">
      <c r="A339" t="s">
        <v>1073</v>
      </c>
      <c r="B339" t="s">
        <v>30</v>
      </c>
      <c r="C339" t="s">
        <v>1074</v>
      </c>
      <c r="D339" t="s">
        <v>1075</v>
      </c>
      <c r="E339" t="s">
        <v>34</v>
      </c>
      <c r="F339" t="str">
        <f t="shared" si="61"/>
        <v>Data Analyst</v>
      </c>
      <c r="G339" t="str">
        <f t="shared" si="62"/>
        <v>Data Analyst</v>
      </c>
      <c r="H339" t="s">
        <v>35</v>
      </c>
      <c r="I339" t="s">
        <v>91</v>
      </c>
      <c r="J339" t="s">
        <v>430</v>
      </c>
      <c r="K339" t="str">
        <f t="shared" si="63"/>
        <v>Distribution</v>
      </c>
      <c r="L339" t="str">
        <f t="shared" si="64"/>
        <v>Others</v>
      </c>
      <c r="M339" t="s">
        <v>50</v>
      </c>
      <c r="N339" t="str">
        <f t="shared" si="65"/>
        <v>R</v>
      </c>
      <c r="O339" t="str">
        <f t="shared" si="66"/>
        <v>R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tr">
        <f t="shared" si="67"/>
        <v>Remote Work</v>
      </c>
      <c r="Y339" t="str">
        <f t="shared" si="68"/>
        <v>Remote Work</v>
      </c>
      <c r="Z339" t="s">
        <v>41</v>
      </c>
      <c r="AA339">
        <v>35</v>
      </c>
      <c r="AB339" t="s">
        <v>42</v>
      </c>
      <c r="AC339" t="str">
        <f t="shared" si="69"/>
        <v>United States</v>
      </c>
      <c r="AD339" t="str">
        <f t="shared" si="70"/>
        <v>United States</v>
      </c>
      <c r="AE339" t="s">
        <v>241</v>
      </c>
      <c r="AF339" t="s">
        <v>43</v>
      </c>
      <c r="AG339" t="str">
        <f t="shared" si="60"/>
        <v>White or Caucasian</v>
      </c>
      <c r="AH339" t="str">
        <f t="shared" si="71"/>
        <v>White or Caucasian</v>
      </c>
    </row>
    <row r="340" spans="1:34" x14ac:dyDescent="0.25">
      <c r="A340" t="s">
        <v>1076</v>
      </c>
      <c r="B340" t="s">
        <v>30</v>
      </c>
      <c r="C340" t="s">
        <v>1077</v>
      </c>
      <c r="D340" t="s">
        <v>917</v>
      </c>
      <c r="E340" t="s">
        <v>34</v>
      </c>
      <c r="F340" t="str">
        <f t="shared" si="61"/>
        <v>Data Analyst</v>
      </c>
      <c r="G340" t="str">
        <f t="shared" si="62"/>
        <v>Data Analyst</v>
      </c>
      <c r="H340" t="s">
        <v>35</v>
      </c>
      <c r="I340" t="s">
        <v>98</v>
      </c>
      <c r="J340" t="s">
        <v>798</v>
      </c>
      <c r="K340" t="str">
        <f t="shared" si="63"/>
        <v>Agriculture</v>
      </c>
      <c r="L340" t="str">
        <f t="shared" si="64"/>
        <v>Others</v>
      </c>
      <c r="M340" t="s">
        <v>88</v>
      </c>
      <c r="N340" t="str">
        <f t="shared" si="65"/>
        <v>SQL</v>
      </c>
      <c r="O340" t="str">
        <f t="shared" si="66"/>
        <v>SQL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tr">
        <f t="shared" si="67"/>
        <v>Good Work/Life Balance</v>
      </c>
      <c r="Y340" t="str">
        <f t="shared" si="68"/>
        <v>Good Work/Life Balance</v>
      </c>
      <c r="Z340" t="s">
        <v>69</v>
      </c>
      <c r="AA340">
        <v>37</v>
      </c>
      <c r="AB340" t="s">
        <v>42</v>
      </c>
      <c r="AC340" t="str">
        <f t="shared" si="69"/>
        <v>United States</v>
      </c>
      <c r="AD340" t="str">
        <f t="shared" si="70"/>
        <v>United States</v>
      </c>
      <c r="AE340" t="s">
        <v>244</v>
      </c>
      <c r="AF340" t="s">
        <v>43</v>
      </c>
      <c r="AG340" t="str">
        <f t="shared" si="60"/>
        <v>White or Caucasian</v>
      </c>
      <c r="AH340" t="str">
        <f t="shared" si="71"/>
        <v>White or Caucasian</v>
      </c>
    </row>
    <row r="341" spans="1:34" x14ac:dyDescent="0.25">
      <c r="A341" t="s">
        <v>1078</v>
      </c>
      <c r="B341" t="s">
        <v>30</v>
      </c>
      <c r="C341" t="s">
        <v>1079</v>
      </c>
      <c r="D341" t="s">
        <v>1080</v>
      </c>
      <c r="E341" t="s">
        <v>127</v>
      </c>
      <c r="F341" t="str">
        <f t="shared" si="61"/>
        <v>Student/Looking/None</v>
      </c>
      <c r="G341" t="str">
        <f t="shared" si="62"/>
        <v>Student/Looking/None</v>
      </c>
      <c r="H341" t="s">
        <v>35</v>
      </c>
      <c r="I341" t="s">
        <v>57</v>
      </c>
      <c r="J341" t="s">
        <v>49</v>
      </c>
      <c r="K341" t="str">
        <f t="shared" si="63"/>
        <v>Finance</v>
      </c>
      <c r="L341" t="str">
        <f t="shared" si="64"/>
        <v>Finance</v>
      </c>
      <c r="M341" t="s">
        <v>38</v>
      </c>
      <c r="N341" t="str">
        <f t="shared" si="65"/>
        <v>Python</v>
      </c>
      <c r="O341" t="str">
        <f t="shared" si="66"/>
        <v>Python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tr">
        <f t="shared" si="67"/>
        <v>Better Salary</v>
      </c>
      <c r="Y341" t="str">
        <f t="shared" si="68"/>
        <v>Better Salary</v>
      </c>
      <c r="Z341" t="s">
        <v>41</v>
      </c>
      <c r="AA341">
        <v>22</v>
      </c>
      <c r="AB341" t="s">
        <v>42</v>
      </c>
      <c r="AC341" t="str">
        <f t="shared" si="69"/>
        <v>United States</v>
      </c>
      <c r="AD341" t="str">
        <f t="shared" si="70"/>
        <v>United States</v>
      </c>
      <c r="AE341" t="s">
        <v>266</v>
      </c>
      <c r="AF341" t="s">
        <v>1081</v>
      </c>
      <c r="AG341" t="str">
        <f t="shared" si="60"/>
        <v>7</v>
      </c>
      <c r="AH341" t="str">
        <f t="shared" si="71"/>
        <v>Others</v>
      </c>
    </row>
    <row r="342" spans="1:34" x14ac:dyDescent="0.25">
      <c r="A342" t="s">
        <v>1082</v>
      </c>
      <c r="B342" t="s">
        <v>30</v>
      </c>
      <c r="C342" t="s">
        <v>1083</v>
      </c>
      <c r="D342" t="s">
        <v>1084</v>
      </c>
      <c r="E342" t="s">
        <v>34</v>
      </c>
      <c r="F342" t="str">
        <f t="shared" si="61"/>
        <v>Data Analyst</v>
      </c>
      <c r="G342" t="str">
        <f t="shared" si="62"/>
        <v>Data Analyst</v>
      </c>
      <c r="H342" t="s">
        <v>35</v>
      </c>
      <c r="I342" t="s">
        <v>98</v>
      </c>
      <c r="J342" t="s">
        <v>37</v>
      </c>
      <c r="K342" t="str">
        <f t="shared" si="63"/>
        <v>Healthcare</v>
      </c>
      <c r="L342" t="str">
        <f t="shared" si="64"/>
        <v>Healthcare</v>
      </c>
      <c r="M342" t="s">
        <v>38</v>
      </c>
      <c r="N342" t="str">
        <f t="shared" si="65"/>
        <v>Python</v>
      </c>
      <c r="O342" t="str">
        <f t="shared" si="66"/>
        <v>Python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tr">
        <f t="shared" si="67"/>
        <v>Better Salary</v>
      </c>
      <c r="Y342" t="str">
        <f t="shared" si="68"/>
        <v>Better Salary</v>
      </c>
      <c r="Z342" t="s">
        <v>41</v>
      </c>
      <c r="AA342">
        <v>36</v>
      </c>
      <c r="AB342" t="s">
        <v>42</v>
      </c>
      <c r="AC342" t="str">
        <f t="shared" si="69"/>
        <v>United States</v>
      </c>
      <c r="AD342" t="str">
        <f t="shared" si="70"/>
        <v>United States</v>
      </c>
      <c r="AE342" t="s">
        <v>244</v>
      </c>
      <c r="AF342" t="s">
        <v>43</v>
      </c>
      <c r="AG342" t="str">
        <f t="shared" si="60"/>
        <v>White or Caucasian</v>
      </c>
      <c r="AH342" t="str">
        <f t="shared" si="71"/>
        <v>White or Caucasian</v>
      </c>
    </row>
    <row r="343" spans="1:34" x14ac:dyDescent="0.25">
      <c r="A343" t="s">
        <v>1085</v>
      </c>
      <c r="B343" t="s">
        <v>30</v>
      </c>
      <c r="C343" t="s">
        <v>1086</v>
      </c>
      <c r="D343" t="s">
        <v>362</v>
      </c>
      <c r="E343" t="s">
        <v>81</v>
      </c>
      <c r="F343" t="str">
        <f t="shared" si="61"/>
        <v>Data Scientist</v>
      </c>
      <c r="G343" t="str">
        <f t="shared" si="62"/>
        <v>Data Scientist</v>
      </c>
      <c r="H343" t="s">
        <v>35</v>
      </c>
      <c r="I343" t="s">
        <v>91</v>
      </c>
      <c r="J343" t="s">
        <v>1087</v>
      </c>
      <c r="K343" t="str">
        <f t="shared" si="63"/>
        <v>Fmcg</v>
      </c>
      <c r="L343" t="str">
        <f t="shared" si="64"/>
        <v>Others</v>
      </c>
      <c r="M343" t="s">
        <v>38</v>
      </c>
      <c r="N343" t="str">
        <f t="shared" si="65"/>
        <v>Python</v>
      </c>
      <c r="O343" t="str">
        <f t="shared" si="66"/>
        <v>Python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tr">
        <f t="shared" si="67"/>
        <v>Good Work/Life Balance</v>
      </c>
      <c r="Y343" t="str">
        <f t="shared" si="68"/>
        <v>Good Work/Life Balance</v>
      </c>
      <c r="Z343" t="s">
        <v>41</v>
      </c>
      <c r="AA343">
        <v>26</v>
      </c>
      <c r="AB343" t="s">
        <v>151</v>
      </c>
      <c r="AC343" t="str">
        <f t="shared" si="69"/>
        <v>India</v>
      </c>
      <c r="AD343" t="str">
        <f t="shared" si="70"/>
        <v>India</v>
      </c>
      <c r="AE343" t="s">
        <v>241</v>
      </c>
      <c r="AF343" t="s">
        <v>95</v>
      </c>
      <c r="AG343" t="str">
        <f t="shared" si="60"/>
        <v>Hispanic or Latino</v>
      </c>
      <c r="AH343" t="str">
        <f t="shared" si="71"/>
        <v>Hispanic or Latino</v>
      </c>
    </row>
    <row r="344" spans="1:34" x14ac:dyDescent="0.25">
      <c r="A344" t="s">
        <v>1088</v>
      </c>
      <c r="B344" t="s">
        <v>30</v>
      </c>
      <c r="C344" t="s">
        <v>1089</v>
      </c>
      <c r="D344" t="s">
        <v>1090</v>
      </c>
      <c r="E344" t="s">
        <v>34</v>
      </c>
      <c r="F344" t="str">
        <f t="shared" si="61"/>
        <v>Data Analyst</v>
      </c>
      <c r="G344" t="str">
        <f t="shared" si="62"/>
        <v>Data Analyst</v>
      </c>
      <c r="H344" t="s">
        <v>35</v>
      </c>
      <c r="I344" t="s">
        <v>57</v>
      </c>
      <c r="J344" t="s">
        <v>667</v>
      </c>
      <c r="K344" t="str">
        <f t="shared" si="63"/>
        <v>Market research</v>
      </c>
      <c r="L344" t="str">
        <f t="shared" si="64"/>
        <v>Others</v>
      </c>
      <c r="M344" t="s">
        <v>50</v>
      </c>
      <c r="N344" t="str">
        <f t="shared" si="65"/>
        <v>R</v>
      </c>
      <c r="O344" t="str">
        <f t="shared" si="66"/>
        <v>R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tr">
        <f t="shared" si="67"/>
        <v>Good Culture</v>
      </c>
      <c r="Y344" t="str">
        <f t="shared" si="68"/>
        <v>Good Culture</v>
      </c>
      <c r="Z344" t="s">
        <v>69</v>
      </c>
      <c r="AA344">
        <v>25</v>
      </c>
      <c r="AB344" t="s">
        <v>1091</v>
      </c>
      <c r="AC344" t="str">
        <f t="shared" si="69"/>
        <v>South Korea</v>
      </c>
      <c r="AD344" t="str">
        <f t="shared" si="70"/>
        <v>Others</v>
      </c>
      <c r="AE344" t="s">
        <v>241</v>
      </c>
      <c r="AF344" t="s">
        <v>52</v>
      </c>
      <c r="AG344" t="str">
        <f t="shared" si="60"/>
        <v>Asian or Asian American</v>
      </c>
      <c r="AH344" t="str">
        <f t="shared" si="71"/>
        <v>Asian or Asian American</v>
      </c>
    </row>
    <row r="345" spans="1:34" x14ac:dyDescent="0.25">
      <c r="A345" t="s">
        <v>1092</v>
      </c>
      <c r="B345" t="s">
        <v>30</v>
      </c>
      <c r="C345" t="s">
        <v>1093</v>
      </c>
      <c r="D345" t="s">
        <v>917</v>
      </c>
      <c r="E345" t="s">
        <v>34</v>
      </c>
      <c r="F345" t="str">
        <f t="shared" si="61"/>
        <v>Data Analyst</v>
      </c>
      <c r="G345" t="str">
        <f t="shared" si="62"/>
        <v>Data Analyst</v>
      </c>
      <c r="H345" t="s">
        <v>35</v>
      </c>
      <c r="I345" t="s">
        <v>48</v>
      </c>
      <c r="J345" t="s">
        <v>1094</v>
      </c>
      <c r="K345" t="str">
        <f t="shared" si="63"/>
        <v>NGO - Legislation</v>
      </c>
      <c r="L345" t="str">
        <f t="shared" si="64"/>
        <v>Others</v>
      </c>
      <c r="M345" t="s">
        <v>50</v>
      </c>
      <c r="N345" t="str">
        <f t="shared" si="65"/>
        <v>R</v>
      </c>
      <c r="O345" t="str">
        <f t="shared" si="66"/>
        <v>R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tr">
        <f t="shared" si="67"/>
        <v>Remote Work</v>
      </c>
      <c r="Y345" t="str">
        <f t="shared" si="68"/>
        <v>Remote Work</v>
      </c>
      <c r="Z345" t="s">
        <v>69</v>
      </c>
      <c r="AA345">
        <v>34</v>
      </c>
      <c r="AB345" t="s">
        <v>42</v>
      </c>
      <c r="AC345" t="str">
        <f t="shared" si="69"/>
        <v>United States</v>
      </c>
      <c r="AD345" t="str">
        <f t="shared" si="70"/>
        <v>United States</v>
      </c>
      <c r="AE345" t="s">
        <v>231</v>
      </c>
      <c r="AF345" t="s">
        <v>43</v>
      </c>
      <c r="AG345" t="str">
        <f t="shared" si="60"/>
        <v>White or Caucasian</v>
      </c>
      <c r="AH345" t="str">
        <f t="shared" si="71"/>
        <v>White or Caucasian</v>
      </c>
    </row>
    <row r="346" spans="1:34" x14ac:dyDescent="0.25">
      <c r="A346" t="s">
        <v>1095</v>
      </c>
      <c r="B346" t="s">
        <v>30</v>
      </c>
      <c r="C346" t="s">
        <v>1096</v>
      </c>
      <c r="D346" t="s">
        <v>694</v>
      </c>
      <c r="E346" t="s">
        <v>34</v>
      </c>
      <c r="F346" t="str">
        <f t="shared" si="61"/>
        <v>Data Analyst</v>
      </c>
      <c r="G346" t="str">
        <f t="shared" si="62"/>
        <v>Data Analyst</v>
      </c>
      <c r="H346" t="s">
        <v>35</v>
      </c>
      <c r="I346" t="s">
        <v>57</v>
      </c>
      <c r="J346" t="s">
        <v>1097</v>
      </c>
      <c r="K346" t="str">
        <f t="shared" si="63"/>
        <v>Culinary</v>
      </c>
      <c r="L346" t="str">
        <f t="shared" si="64"/>
        <v>Others</v>
      </c>
      <c r="M346" t="s">
        <v>38</v>
      </c>
      <c r="N346" t="str">
        <f t="shared" si="65"/>
        <v>Python</v>
      </c>
      <c r="O346" t="str">
        <f t="shared" si="66"/>
        <v>Python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tr">
        <f t="shared" si="67"/>
        <v>Remote Work</v>
      </c>
      <c r="Y346" t="str">
        <f t="shared" si="68"/>
        <v>Remote Work</v>
      </c>
      <c r="Z346" t="s">
        <v>41</v>
      </c>
      <c r="AA346">
        <v>33</v>
      </c>
      <c r="AB346" t="s">
        <v>363</v>
      </c>
      <c r="AC346" t="str">
        <f t="shared" si="69"/>
        <v>Chile</v>
      </c>
      <c r="AD346" t="str">
        <f t="shared" si="70"/>
        <v>Others</v>
      </c>
      <c r="AE346" t="s">
        <v>241</v>
      </c>
      <c r="AF346" t="s">
        <v>95</v>
      </c>
      <c r="AG346" t="str">
        <f t="shared" si="60"/>
        <v>Hispanic or Latino</v>
      </c>
      <c r="AH346" t="str">
        <f t="shared" si="71"/>
        <v>Hispanic or Latino</v>
      </c>
    </row>
    <row r="347" spans="1:34" x14ac:dyDescent="0.25">
      <c r="A347" t="s">
        <v>1098</v>
      </c>
      <c r="B347" t="s">
        <v>30</v>
      </c>
      <c r="C347" t="s">
        <v>1099</v>
      </c>
      <c r="D347" t="s">
        <v>429</v>
      </c>
      <c r="E347" t="s">
        <v>127</v>
      </c>
      <c r="F347" t="str">
        <f t="shared" si="61"/>
        <v>Student/Looking/None</v>
      </c>
      <c r="G347" t="str">
        <f t="shared" si="62"/>
        <v>Student/Looking/None</v>
      </c>
      <c r="H347" t="s">
        <v>47</v>
      </c>
      <c r="I347" t="s">
        <v>48</v>
      </c>
      <c r="J347" t="s">
        <v>87</v>
      </c>
      <c r="K347" t="str">
        <f t="shared" si="63"/>
        <v>Retail</v>
      </c>
      <c r="L347" t="str">
        <f t="shared" si="64"/>
        <v>Retail</v>
      </c>
      <c r="M347" t="s">
        <v>38</v>
      </c>
      <c r="N347" t="str">
        <f t="shared" si="65"/>
        <v>Python</v>
      </c>
      <c r="O347" t="str">
        <f t="shared" si="66"/>
        <v>Python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tr">
        <f t="shared" si="67"/>
        <v>Good Work/Life Balance</v>
      </c>
      <c r="Y347" t="str">
        <f t="shared" si="68"/>
        <v>Good Work/Life Balance</v>
      </c>
      <c r="Z347" t="s">
        <v>41</v>
      </c>
      <c r="AA347">
        <v>37</v>
      </c>
      <c r="AB347" t="s">
        <v>42</v>
      </c>
      <c r="AC347" t="str">
        <f t="shared" si="69"/>
        <v>United States</v>
      </c>
      <c r="AD347" t="str">
        <f t="shared" si="70"/>
        <v>United States</v>
      </c>
      <c r="AE347" t="s">
        <v>241</v>
      </c>
      <c r="AF347" t="s">
        <v>43</v>
      </c>
      <c r="AG347" t="str">
        <f t="shared" si="60"/>
        <v>White or Caucasian</v>
      </c>
      <c r="AH347" t="str">
        <f t="shared" si="71"/>
        <v>White or Caucasian</v>
      </c>
    </row>
    <row r="348" spans="1:34" x14ac:dyDescent="0.25">
      <c r="A348" t="s">
        <v>1100</v>
      </c>
      <c r="B348" t="s">
        <v>30</v>
      </c>
      <c r="C348" t="s">
        <v>1101</v>
      </c>
      <c r="D348" t="s">
        <v>93</v>
      </c>
      <c r="E348" t="s">
        <v>34</v>
      </c>
      <c r="F348" t="str">
        <f t="shared" si="61"/>
        <v>Data Analyst</v>
      </c>
      <c r="G348" t="str">
        <f t="shared" si="62"/>
        <v>Data Analyst</v>
      </c>
      <c r="H348" t="s">
        <v>47</v>
      </c>
      <c r="I348" t="s">
        <v>98</v>
      </c>
      <c r="J348" t="s">
        <v>344</v>
      </c>
      <c r="K348" t="str">
        <f t="shared" si="63"/>
        <v>Marketing</v>
      </c>
      <c r="L348" t="str">
        <f t="shared" si="64"/>
        <v>Others</v>
      </c>
      <c r="M348" t="s">
        <v>38</v>
      </c>
      <c r="N348" t="str">
        <f t="shared" si="65"/>
        <v>Python</v>
      </c>
      <c r="O348" t="str">
        <f t="shared" si="66"/>
        <v>Python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tr">
        <f t="shared" si="67"/>
        <v>Better Salary</v>
      </c>
      <c r="Y348" t="str">
        <f t="shared" si="68"/>
        <v>Better Salary</v>
      </c>
      <c r="Z348" t="s">
        <v>69</v>
      </c>
      <c r="AA348">
        <v>54</v>
      </c>
      <c r="AB348" t="s">
        <v>42</v>
      </c>
      <c r="AC348" t="str">
        <f t="shared" si="69"/>
        <v>United States</v>
      </c>
      <c r="AD348" t="str">
        <f t="shared" si="70"/>
        <v>United States</v>
      </c>
      <c r="AE348" t="s">
        <v>231</v>
      </c>
      <c r="AF348" t="s">
        <v>43</v>
      </c>
      <c r="AG348" t="str">
        <f t="shared" si="60"/>
        <v>White or Caucasian</v>
      </c>
      <c r="AH348" t="str">
        <f t="shared" si="71"/>
        <v>White or Caucasian</v>
      </c>
    </row>
    <row r="349" spans="1:34" x14ac:dyDescent="0.25">
      <c r="A349" t="s">
        <v>1102</v>
      </c>
      <c r="B349" t="s">
        <v>1103</v>
      </c>
      <c r="C349" t="s">
        <v>1104</v>
      </c>
      <c r="D349" t="s">
        <v>704</v>
      </c>
      <c r="E349" t="s">
        <v>34</v>
      </c>
      <c r="F349" t="str">
        <f t="shared" si="61"/>
        <v>Data Analyst</v>
      </c>
      <c r="G349" t="str">
        <f t="shared" si="62"/>
        <v>Data Analyst</v>
      </c>
      <c r="H349" t="s">
        <v>35</v>
      </c>
      <c r="I349" t="s">
        <v>57</v>
      </c>
      <c r="J349" t="s">
        <v>49</v>
      </c>
      <c r="K349" t="str">
        <f t="shared" si="63"/>
        <v>Finance</v>
      </c>
      <c r="L349" t="str">
        <f t="shared" si="64"/>
        <v>Finance</v>
      </c>
      <c r="M349" t="s">
        <v>38</v>
      </c>
      <c r="N349" t="str">
        <f t="shared" si="65"/>
        <v>Python</v>
      </c>
      <c r="O349" t="str">
        <f t="shared" si="66"/>
        <v>Python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tr">
        <f t="shared" si="67"/>
        <v>Better Salary</v>
      </c>
      <c r="Y349" t="str">
        <f t="shared" si="68"/>
        <v>Better Salary</v>
      </c>
      <c r="Z349" t="s">
        <v>41</v>
      </c>
      <c r="AA349">
        <v>26</v>
      </c>
      <c r="AB349" t="s">
        <v>151</v>
      </c>
      <c r="AC349" t="str">
        <f t="shared" si="69"/>
        <v>India</v>
      </c>
      <c r="AD349" t="str">
        <f t="shared" si="70"/>
        <v>India</v>
      </c>
      <c r="AE349" t="s">
        <v>241</v>
      </c>
      <c r="AF349" t="s">
        <v>52</v>
      </c>
      <c r="AG349" t="str">
        <f t="shared" si="60"/>
        <v>Asian or Asian American</v>
      </c>
      <c r="AH349" t="str">
        <f t="shared" si="71"/>
        <v>Asian or Asian American</v>
      </c>
    </row>
    <row r="350" spans="1:34" x14ac:dyDescent="0.25">
      <c r="A350" t="s">
        <v>1105</v>
      </c>
      <c r="B350" t="s">
        <v>1103</v>
      </c>
      <c r="C350" t="s">
        <v>1106</v>
      </c>
      <c r="D350" t="s">
        <v>885</v>
      </c>
      <c r="E350" t="s">
        <v>34</v>
      </c>
      <c r="F350" t="str">
        <f t="shared" si="61"/>
        <v>Data Analyst</v>
      </c>
      <c r="G350" t="str">
        <f t="shared" si="62"/>
        <v>Data Analyst</v>
      </c>
      <c r="H350" t="s">
        <v>47</v>
      </c>
      <c r="I350" t="s">
        <v>48</v>
      </c>
      <c r="J350" t="s">
        <v>112</v>
      </c>
      <c r="K350" t="str">
        <f t="shared" si="63"/>
        <v>Education</v>
      </c>
      <c r="L350" t="str">
        <f t="shared" si="64"/>
        <v>Education</v>
      </c>
      <c r="M350" t="s">
        <v>50</v>
      </c>
      <c r="N350" t="str">
        <f t="shared" si="65"/>
        <v>R</v>
      </c>
      <c r="O350" t="str">
        <f t="shared" si="66"/>
        <v>R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tr">
        <f t="shared" si="67"/>
        <v>Better Salary</v>
      </c>
      <c r="Y350" t="str">
        <f t="shared" si="68"/>
        <v>Better Salary</v>
      </c>
      <c r="Z350" t="s">
        <v>69</v>
      </c>
      <c r="AA350">
        <v>27</v>
      </c>
      <c r="AB350" t="s">
        <v>42</v>
      </c>
      <c r="AC350" t="str">
        <f t="shared" si="69"/>
        <v>United States</v>
      </c>
      <c r="AD350" t="str">
        <f t="shared" si="70"/>
        <v>United States</v>
      </c>
      <c r="AE350" t="s">
        <v>244</v>
      </c>
      <c r="AF350" t="s">
        <v>95</v>
      </c>
      <c r="AG350" t="str">
        <f t="shared" si="60"/>
        <v>Hispanic or Latino</v>
      </c>
      <c r="AH350" t="str">
        <f t="shared" si="71"/>
        <v>Hispanic or Latino</v>
      </c>
    </row>
    <row r="351" spans="1:34" x14ac:dyDescent="0.25">
      <c r="A351" t="s">
        <v>1107</v>
      </c>
      <c r="B351" t="s">
        <v>1103</v>
      </c>
      <c r="C351" t="s">
        <v>1106</v>
      </c>
      <c r="D351" t="s">
        <v>1108</v>
      </c>
      <c r="E351" t="s">
        <v>794</v>
      </c>
      <c r="F351" t="str">
        <f t="shared" si="61"/>
        <v>Database Developer</v>
      </c>
      <c r="G351" t="str">
        <f t="shared" si="62"/>
        <v>Database Developer</v>
      </c>
      <c r="H351" t="s">
        <v>35</v>
      </c>
      <c r="I351" t="s">
        <v>57</v>
      </c>
      <c r="J351" t="s">
        <v>94</v>
      </c>
      <c r="K351" t="str">
        <f t="shared" si="63"/>
        <v>Telecommunication</v>
      </c>
      <c r="L351" t="str">
        <f t="shared" si="64"/>
        <v>Telecommunication</v>
      </c>
      <c r="M351" t="s">
        <v>322</v>
      </c>
      <c r="N351" t="str">
        <f t="shared" si="65"/>
        <v>Sql</v>
      </c>
      <c r="O351" t="str">
        <f t="shared" si="66"/>
        <v>Sql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tr">
        <f t="shared" si="67"/>
        <v>Better Salary</v>
      </c>
      <c r="Y351" t="str">
        <f t="shared" si="68"/>
        <v>Better Salary</v>
      </c>
      <c r="Z351" t="s">
        <v>41</v>
      </c>
      <c r="AA351">
        <v>24</v>
      </c>
      <c r="AB351" t="s">
        <v>113</v>
      </c>
      <c r="AC351" t="str">
        <f t="shared" si="69"/>
        <v>United Kingdom</v>
      </c>
      <c r="AD351" t="str">
        <f t="shared" si="70"/>
        <v>United Kingdom</v>
      </c>
      <c r="AE351" t="s">
        <v>241</v>
      </c>
      <c r="AF351" t="s">
        <v>43</v>
      </c>
      <c r="AG351" t="str">
        <f t="shared" si="60"/>
        <v>White or Caucasian</v>
      </c>
      <c r="AH351" t="str">
        <f t="shared" si="71"/>
        <v>White or Caucasian</v>
      </c>
    </row>
    <row r="352" spans="1:34" x14ac:dyDescent="0.25">
      <c r="A352" t="s">
        <v>1109</v>
      </c>
      <c r="B352" t="s">
        <v>1103</v>
      </c>
      <c r="C352" t="s">
        <v>1110</v>
      </c>
      <c r="D352" t="s">
        <v>337</v>
      </c>
      <c r="E352" t="s">
        <v>34</v>
      </c>
      <c r="F352" t="str">
        <f t="shared" si="61"/>
        <v>Data Analyst</v>
      </c>
      <c r="G352" t="str">
        <f t="shared" si="62"/>
        <v>Data Analyst</v>
      </c>
      <c r="H352" t="s">
        <v>35</v>
      </c>
      <c r="I352" t="s">
        <v>57</v>
      </c>
      <c r="J352" t="s">
        <v>49</v>
      </c>
      <c r="K352" t="str">
        <f t="shared" si="63"/>
        <v>Finance</v>
      </c>
      <c r="L352" t="str">
        <f t="shared" si="64"/>
        <v>Finance</v>
      </c>
      <c r="M352" t="s">
        <v>38</v>
      </c>
      <c r="N352" t="str">
        <f t="shared" si="65"/>
        <v>Python</v>
      </c>
      <c r="O352" t="str">
        <f t="shared" si="66"/>
        <v>Python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tr">
        <f t="shared" si="67"/>
        <v>Better Salary</v>
      </c>
      <c r="Y352" t="str">
        <f t="shared" si="68"/>
        <v>Better Salary</v>
      </c>
      <c r="Z352" t="s">
        <v>41</v>
      </c>
      <c r="AA352">
        <v>24</v>
      </c>
      <c r="AB352" t="s">
        <v>448</v>
      </c>
      <c r="AC352" t="str">
        <f t="shared" si="69"/>
        <v>Egypt</v>
      </c>
      <c r="AD352" t="str">
        <f t="shared" si="70"/>
        <v>Egypt</v>
      </c>
      <c r="AE352" t="s">
        <v>241</v>
      </c>
      <c r="AF352" t="s">
        <v>43</v>
      </c>
      <c r="AG352" t="str">
        <f t="shared" si="60"/>
        <v>White or Caucasian</v>
      </c>
      <c r="AH352" t="str">
        <f t="shared" si="71"/>
        <v>White or Caucasian</v>
      </c>
    </row>
    <row r="353" spans="1:34" x14ac:dyDescent="0.25">
      <c r="A353" t="s">
        <v>1111</v>
      </c>
      <c r="B353" t="s">
        <v>1103</v>
      </c>
      <c r="C353" t="s">
        <v>1112</v>
      </c>
      <c r="D353" t="s">
        <v>97</v>
      </c>
      <c r="E353" t="s">
        <v>1113</v>
      </c>
      <c r="F353" t="str">
        <f t="shared" si="61"/>
        <v>Consultant</v>
      </c>
      <c r="G353" t="str">
        <f t="shared" si="62"/>
        <v>Others</v>
      </c>
      <c r="H353" t="s">
        <v>35</v>
      </c>
      <c r="I353" t="s">
        <v>57</v>
      </c>
      <c r="J353" t="s">
        <v>397</v>
      </c>
      <c r="K353" t="str">
        <f t="shared" si="63"/>
        <v>Consulting</v>
      </c>
      <c r="L353" t="str">
        <f t="shared" si="64"/>
        <v>Others</v>
      </c>
      <c r="M353" t="s">
        <v>38</v>
      </c>
      <c r="N353" t="str">
        <f t="shared" si="65"/>
        <v>Python</v>
      </c>
      <c r="O353" t="str">
        <f t="shared" si="66"/>
        <v>Python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tr">
        <f t="shared" si="67"/>
        <v>Better Salary</v>
      </c>
      <c r="Y353" t="str">
        <f t="shared" si="68"/>
        <v>Better Salary</v>
      </c>
      <c r="Z353" t="s">
        <v>41</v>
      </c>
      <c r="AA353">
        <v>27</v>
      </c>
      <c r="AB353" t="s">
        <v>1114</v>
      </c>
      <c r="AC353" t="str">
        <f t="shared" si="69"/>
        <v>Panama</v>
      </c>
      <c r="AD353" t="str">
        <f t="shared" si="70"/>
        <v>Others</v>
      </c>
      <c r="AE353" t="s">
        <v>241</v>
      </c>
      <c r="AF353" t="s">
        <v>43</v>
      </c>
      <c r="AG353" t="str">
        <f t="shared" si="60"/>
        <v>White or Caucasian</v>
      </c>
      <c r="AH353" t="str">
        <f t="shared" si="71"/>
        <v>White or Caucasian</v>
      </c>
    </row>
    <row r="354" spans="1:34" x14ac:dyDescent="0.25">
      <c r="A354" t="s">
        <v>1115</v>
      </c>
      <c r="B354" t="s">
        <v>1103</v>
      </c>
      <c r="C354" t="s">
        <v>1116</v>
      </c>
      <c r="D354" t="s">
        <v>175</v>
      </c>
      <c r="E354" t="s">
        <v>127</v>
      </c>
      <c r="F354" t="str">
        <f t="shared" si="61"/>
        <v>Student/Looking/None</v>
      </c>
      <c r="G354" t="str">
        <f t="shared" si="62"/>
        <v>Student/Looking/None</v>
      </c>
      <c r="H354" t="s">
        <v>47</v>
      </c>
      <c r="I354" t="s">
        <v>57</v>
      </c>
      <c r="J354" t="s">
        <v>847</v>
      </c>
      <c r="K354" t="str">
        <f t="shared" si="63"/>
        <v>none</v>
      </c>
      <c r="L354" t="str">
        <f t="shared" si="64"/>
        <v>Others</v>
      </c>
      <c r="M354" t="s">
        <v>38</v>
      </c>
      <c r="N354" t="str">
        <f t="shared" si="65"/>
        <v>Python</v>
      </c>
      <c r="O354" t="str">
        <f t="shared" si="66"/>
        <v>Python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tr">
        <f t="shared" si="67"/>
        <v>Remote Work</v>
      </c>
      <c r="Y354" t="str">
        <f t="shared" si="68"/>
        <v>Remote Work</v>
      </c>
      <c r="Z354" t="s">
        <v>41</v>
      </c>
      <c r="AA354">
        <v>25</v>
      </c>
      <c r="AB354" t="s">
        <v>1117</v>
      </c>
      <c r="AC354" t="str">
        <f t="shared" si="69"/>
        <v>indonesia</v>
      </c>
      <c r="AD354" t="str">
        <f t="shared" si="70"/>
        <v>Others</v>
      </c>
      <c r="AE354" t="s">
        <v>241</v>
      </c>
      <c r="AF354" t="s">
        <v>52</v>
      </c>
      <c r="AG354" t="str">
        <f t="shared" si="60"/>
        <v>Asian or Asian American</v>
      </c>
      <c r="AH354" t="str">
        <f t="shared" si="71"/>
        <v>Asian or Asian American</v>
      </c>
    </row>
    <row r="355" spans="1:34" x14ac:dyDescent="0.25">
      <c r="A355" t="s">
        <v>1118</v>
      </c>
      <c r="B355" t="s">
        <v>1103</v>
      </c>
      <c r="C355" t="s">
        <v>1119</v>
      </c>
      <c r="D355" t="s">
        <v>228</v>
      </c>
      <c r="E355" t="s">
        <v>34</v>
      </c>
      <c r="F355" t="str">
        <f t="shared" si="61"/>
        <v>Data Analyst</v>
      </c>
      <c r="G355" t="str">
        <f t="shared" si="62"/>
        <v>Data Analyst</v>
      </c>
      <c r="H355" t="s">
        <v>35</v>
      </c>
      <c r="I355" t="s">
        <v>57</v>
      </c>
      <c r="J355" t="s">
        <v>107</v>
      </c>
      <c r="K355" t="str">
        <f t="shared" si="63"/>
        <v>Tech</v>
      </c>
      <c r="L355" t="str">
        <f t="shared" si="64"/>
        <v>Tech</v>
      </c>
      <c r="M355" t="s">
        <v>38</v>
      </c>
      <c r="N355" t="str">
        <f t="shared" si="65"/>
        <v>Python</v>
      </c>
      <c r="O355" t="str">
        <f t="shared" si="66"/>
        <v>Python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tr">
        <f t="shared" si="67"/>
        <v>Better Salary</v>
      </c>
      <c r="Y355" t="str">
        <f t="shared" si="68"/>
        <v>Better Salary</v>
      </c>
      <c r="Z355" t="s">
        <v>69</v>
      </c>
      <c r="AA355">
        <v>28</v>
      </c>
      <c r="AB355" t="s">
        <v>113</v>
      </c>
      <c r="AC355" t="str">
        <f t="shared" si="69"/>
        <v>United Kingdom</v>
      </c>
      <c r="AD355" t="str">
        <f t="shared" si="70"/>
        <v>United Kingdom</v>
      </c>
      <c r="AE355" t="s">
        <v>244</v>
      </c>
      <c r="AF355" t="s">
        <v>62</v>
      </c>
      <c r="AG355" t="str">
        <f t="shared" si="60"/>
        <v>Black or African American</v>
      </c>
      <c r="AH355" t="str">
        <f t="shared" si="71"/>
        <v>Black or African American</v>
      </c>
    </row>
    <row r="356" spans="1:34" x14ac:dyDescent="0.25">
      <c r="A356" t="s">
        <v>1120</v>
      </c>
      <c r="B356" t="s">
        <v>1103</v>
      </c>
      <c r="C356" t="s">
        <v>1121</v>
      </c>
      <c r="D356" t="s">
        <v>135</v>
      </c>
      <c r="E356" t="s">
        <v>1122</v>
      </c>
      <c r="F356" t="str">
        <f t="shared" si="61"/>
        <v>Business Intelligence Developer</v>
      </c>
      <c r="G356" t="str">
        <f t="shared" si="62"/>
        <v>Others</v>
      </c>
      <c r="H356" t="s">
        <v>47</v>
      </c>
      <c r="I356" t="s">
        <v>48</v>
      </c>
      <c r="J356" t="s">
        <v>112</v>
      </c>
      <c r="K356" t="str">
        <f t="shared" si="63"/>
        <v>Education</v>
      </c>
      <c r="L356" t="str">
        <f t="shared" si="64"/>
        <v>Education</v>
      </c>
      <c r="M356" t="s">
        <v>38</v>
      </c>
      <c r="N356" t="str">
        <f t="shared" si="65"/>
        <v>Python</v>
      </c>
      <c r="O356" t="str">
        <f t="shared" si="66"/>
        <v>Python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tr">
        <f t="shared" si="67"/>
        <v>Remote Work</v>
      </c>
      <c r="Y356" t="str">
        <f t="shared" si="68"/>
        <v>Remote Work</v>
      </c>
      <c r="Z356" t="s">
        <v>41</v>
      </c>
      <c r="AA356">
        <v>21</v>
      </c>
      <c r="AB356" t="s">
        <v>42</v>
      </c>
      <c r="AC356" t="str">
        <f t="shared" si="69"/>
        <v>United States</v>
      </c>
      <c r="AD356" t="str">
        <f t="shared" si="70"/>
        <v>United States</v>
      </c>
      <c r="AE356" t="s">
        <v>241</v>
      </c>
      <c r="AF356" t="s">
        <v>52</v>
      </c>
      <c r="AG356" t="str">
        <f t="shared" si="60"/>
        <v>Asian or Asian American</v>
      </c>
      <c r="AH356" t="str">
        <f t="shared" si="71"/>
        <v>Asian or Asian American</v>
      </c>
    </row>
    <row r="357" spans="1:34" x14ac:dyDescent="0.25">
      <c r="A357" t="s">
        <v>1123</v>
      </c>
      <c r="B357" t="s">
        <v>1103</v>
      </c>
      <c r="C357" t="s">
        <v>1124</v>
      </c>
      <c r="D357" t="s">
        <v>80</v>
      </c>
      <c r="E357" t="s">
        <v>34</v>
      </c>
      <c r="F357" t="str">
        <f t="shared" si="61"/>
        <v>Data Analyst</v>
      </c>
      <c r="G357" t="str">
        <f t="shared" si="62"/>
        <v>Data Analyst</v>
      </c>
      <c r="H357" t="s">
        <v>35</v>
      </c>
      <c r="I357" t="s">
        <v>91</v>
      </c>
      <c r="J357" t="s">
        <v>37</v>
      </c>
      <c r="K357" t="str">
        <f t="shared" si="63"/>
        <v>Healthcare</v>
      </c>
      <c r="L357" t="str">
        <f t="shared" si="64"/>
        <v>Healthcare</v>
      </c>
      <c r="M357" t="s">
        <v>380</v>
      </c>
      <c r="N357" t="s">
        <v>1829</v>
      </c>
      <c r="O357" t="str">
        <f t="shared" si="66"/>
        <v>Others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tr">
        <f t="shared" si="67"/>
        <v>Good Work/Life Balance</v>
      </c>
      <c r="Y357" t="str">
        <f t="shared" si="68"/>
        <v>Good Work/Life Balance</v>
      </c>
      <c r="Z357" t="s">
        <v>69</v>
      </c>
      <c r="AA357">
        <v>28</v>
      </c>
      <c r="AB357" t="s">
        <v>42</v>
      </c>
      <c r="AC357" t="str">
        <f t="shared" si="69"/>
        <v>United States</v>
      </c>
      <c r="AD357" t="str">
        <f t="shared" si="70"/>
        <v>United States</v>
      </c>
      <c r="AE357" t="s">
        <v>241</v>
      </c>
      <c r="AF357" t="s">
        <v>43</v>
      </c>
      <c r="AG357" t="str">
        <f t="shared" si="60"/>
        <v>White or Caucasian</v>
      </c>
      <c r="AH357" t="str">
        <f t="shared" si="71"/>
        <v>White or Caucasian</v>
      </c>
    </row>
    <row r="358" spans="1:34" x14ac:dyDescent="0.25">
      <c r="A358" t="s">
        <v>1125</v>
      </c>
      <c r="B358" t="s">
        <v>1103</v>
      </c>
      <c r="C358" t="s">
        <v>1126</v>
      </c>
      <c r="D358" t="s">
        <v>106</v>
      </c>
      <c r="E358" t="s">
        <v>34</v>
      </c>
      <c r="F358" t="str">
        <f t="shared" si="61"/>
        <v>Data Analyst</v>
      </c>
      <c r="G358" t="str">
        <f t="shared" si="62"/>
        <v>Data Analyst</v>
      </c>
      <c r="H358" t="s">
        <v>35</v>
      </c>
      <c r="I358" t="s">
        <v>57</v>
      </c>
      <c r="J358" t="s">
        <v>107</v>
      </c>
      <c r="K358" t="str">
        <f t="shared" si="63"/>
        <v>Tech</v>
      </c>
      <c r="L358" t="str">
        <f t="shared" si="64"/>
        <v>Tech</v>
      </c>
      <c r="M358" t="s">
        <v>38</v>
      </c>
      <c r="N358" t="str">
        <f t="shared" si="65"/>
        <v>Python</v>
      </c>
      <c r="O358" t="str">
        <f t="shared" si="66"/>
        <v>Python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tr">
        <f t="shared" si="67"/>
        <v>Remote Work</v>
      </c>
      <c r="Y358" t="str">
        <f t="shared" si="68"/>
        <v>Remote Work</v>
      </c>
      <c r="Z358" t="s">
        <v>41</v>
      </c>
      <c r="AA358">
        <v>30</v>
      </c>
      <c r="AB358" t="s">
        <v>800</v>
      </c>
      <c r="AC358" t="str">
        <f t="shared" si="69"/>
        <v>Ghana</v>
      </c>
      <c r="AD358" t="str">
        <f t="shared" si="70"/>
        <v>Others</v>
      </c>
      <c r="AE358" t="s">
        <v>244</v>
      </c>
      <c r="AF358" t="s">
        <v>62</v>
      </c>
      <c r="AG358" t="str">
        <f t="shared" si="60"/>
        <v>Black or African American</v>
      </c>
      <c r="AH358" t="str">
        <f t="shared" si="71"/>
        <v>Black or African American</v>
      </c>
    </row>
    <row r="359" spans="1:34" x14ac:dyDescent="0.25">
      <c r="A359" t="s">
        <v>1127</v>
      </c>
      <c r="B359" t="s">
        <v>1103</v>
      </c>
      <c r="C359" t="s">
        <v>1128</v>
      </c>
      <c r="D359" t="s">
        <v>214</v>
      </c>
      <c r="E359" t="s">
        <v>34</v>
      </c>
      <c r="F359" t="str">
        <f t="shared" si="61"/>
        <v>Data Analyst</v>
      </c>
      <c r="G359" t="str">
        <f t="shared" si="62"/>
        <v>Data Analyst</v>
      </c>
      <c r="H359" t="s">
        <v>47</v>
      </c>
      <c r="I359" t="s">
        <v>57</v>
      </c>
      <c r="J359" t="s">
        <v>112</v>
      </c>
      <c r="K359" t="str">
        <f t="shared" si="63"/>
        <v>Education</v>
      </c>
      <c r="L359" t="str">
        <f t="shared" si="64"/>
        <v>Education</v>
      </c>
      <c r="M359" t="s">
        <v>38</v>
      </c>
      <c r="N359" t="str">
        <f t="shared" si="65"/>
        <v>Python</v>
      </c>
      <c r="O359" t="str">
        <f t="shared" si="66"/>
        <v>Python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tr">
        <f t="shared" si="67"/>
        <v>Remote Work</v>
      </c>
      <c r="Y359" t="str">
        <f t="shared" si="68"/>
        <v>Remote Work</v>
      </c>
      <c r="Z359" t="s">
        <v>41</v>
      </c>
      <c r="AA359">
        <v>24</v>
      </c>
      <c r="AB359" t="s">
        <v>1129</v>
      </c>
      <c r="AC359" t="str">
        <f t="shared" si="69"/>
        <v>Angola</v>
      </c>
      <c r="AD359" t="str">
        <f t="shared" si="70"/>
        <v>Others</v>
      </c>
      <c r="AE359" t="s">
        <v>266</v>
      </c>
      <c r="AF359" t="s">
        <v>62</v>
      </c>
      <c r="AG359" t="str">
        <f t="shared" si="60"/>
        <v>Black or African American</v>
      </c>
      <c r="AH359" t="str">
        <f t="shared" si="71"/>
        <v>Black or African American</v>
      </c>
    </row>
    <row r="360" spans="1:34" x14ac:dyDescent="0.25">
      <c r="A360" t="s">
        <v>1130</v>
      </c>
      <c r="B360" t="s">
        <v>1103</v>
      </c>
      <c r="C360" t="s">
        <v>1131</v>
      </c>
      <c r="D360" t="s">
        <v>650</v>
      </c>
      <c r="E360" t="s">
        <v>34</v>
      </c>
      <c r="F360" t="str">
        <f t="shared" si="61"/>
        <v>Data Analyst</v>
      </c>
      <c r="G360" t="str">
        <f t="shared" si="62"/>
        <v>Data Analyst</v>
      </c>
      <c r="H360" t="s">
        <v>35</v>
      </c>
      <c r="I360" t="s">
        <v>57</v>
      </c>
      <c r="J360" t="s">
        <v>37</v>
      </c>
      <c r="K360" t="str">
        <f t="shared" si="63"/>
        <v>Healthcare</v>
      </c>
      <c r="L360" t="str">
        <f t="shared" si="64"/>
        <v>Healthcare</v>
      </c>
      <c r="M360" t="s">
        <v>38</v>
      </c>
      <c r="N360" t="str">
        <f t="shared" si="65"/>
        <v>Python</v>
      </c>
      <c r="O360" t="str">
        <f t="shared" si="66"/>
        <v>Python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tr">
        <f t="shared" si="67"/>
        <v>Remote Work</v>
      </c>
      <c r="Y360" t="str">
        <f t="shared" si="68"/>
        <v>Remote Work</v>
      </c>
      <c r="Z360" t="s">
        <v>41</v>
      </c>
      <c r="AA360">
        <v>26</v>
      </c>
      <c r="AB360" t="s">
        <v>151</v>
      </c>
      <c r="AC360" t="str">
        <f t="shared" si="69"/>
        <v>India</v>
      </c>
      <c r="AD360" t="str">
        <f t="shared" si="70"/>
        <v>India</v>
      </c>
      <c r="AE360" t="s">
        <v>241</v>
      </c>
      <c r="AF360" t="s">
        <v>204</v>
      </c>
      <c r="AG360" t="str">
        <f t="shared" si="60"/>
        <v>Indian</v>
      </c>
      <c r="AH360" t="str">
        <f t="shared" si="71"/>
        <v>Indian</v>
      </c>
    </row>
    <row r="361" spans="1:34" x14ac:dyDescent="0.25">
      <c r="A361" t="s">
        <v>1132</v>
      </c>
      <c r="B361" t="s">
        <v>1103</v>
      </c>
      <c r="C361" t="s">
        <v>1133</v>
      </c>
      <c r="D361" t="s">
        <v>1134</v>
      </c>
      <c r="E361" t="s">
        <v>34</v>
      </c>
      <c r="F361" t="str">
        <f t="shared" si="61"/>
        <v>Data Analyst</v>
      </c>
      <c r="G361" t="str">
        <f t="shared" si="62"/>
        <v>Data Analyst</v>
      </c>
      <c r="H361" t="s">
        <v>35</v>
      </c>
      <c r="I361" t="s">
        <v>57</v>
      </c>
      <c r="J361" t="s">
        <v>107</v>
      </c>
      <c r="K361" t="str">
        <f t="shared" si="63"/>
        <v>Tech</v>
      </c>
      <c r="L361" t="str">
        <f t="shared" si="64"/>
        <v>Tech</v>
      </c>
      <c r="M361" t="s">
        <v>38</v>
      </c>
      <c r="N361" t="str">
        <f t="shared" si="65"/>
        <v>Python</v>
      </c>
      <c r="O361" t="str">
        <f t="shared" si="66"/>
        <v>Python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tr">
        <f t="shared" si="67"/>
        <v>Good Work/Life Balance</v>
      </c>
      <c r="Y361" t="str">
        <f t="shared" si="68"/>
        <v>Good Work/Life Balance</v>
      </c>
      <c r="Z361" t="s">
        <v>69</v>
      </c>
      <c r="AA361">
        <v>19</v>
      </c>
      <c r="AB361" t="s">
        <v>943</v>
      </c>
      <c r="AC361" t="str">
        <f t="shared" si="69"/>
        <v>Bangladesh</v>
      </c>
      <c r="AD361" t="str">
        <f t="shared" si="70"/>
        <v>Others</v>
      </c>
      <c r="AE361" t="s">
        <v>231</v>
      </c>
      <c r="AF361" t="s">
        <v>52</v>
      </c>
      <c r="AG361" t="str">
        <f t="shared" si="60"/>
        <v>Asian or Asian American</v>
      </c>
      <c r="AH361" t="str">
        <f t="shared" si="71"/>
        <v>Asian or Asian American</v>
      </c>
    </row>
    <row r="362" spans="1:34" x14ac:dyDescent="0.25">
      <c r="A362" t="s">
        <v>1135</v>
      </c>
      <c r="B362" t="s">
        <v>1103</v>
      </c>
      <c r="C362" t="s">
        <v>1136</v>
      </c>
      <c r="D362" t="s">
        <v>282</v>
      </c>
      <c r="E362" t="s">
        <v>127</v>
      </c>
      <c r="F362" t="str">
        <f t="shared" si="61"/>
        <v>Student/Looking/None</v>
      </c>
      <c r="G362" t="str">
        <f t="shared" si="62"/>
        <v>Student/Looking/None</v>
      </c>
      <c r="H362" t="s">
        <v>47</v>
      </c>
      <c r="I362" t="s">
        <v>57</v>
      </c>
      <c r="J362" t="s">
        <v>1137</v>
      </c>
      <c r="K362" t="str">
        <f t="shared" si="63"/>
        <v>Customer support</v>
      </c>
      <c r="L362" t="str">
        <f t="shared" si="64"/>
        <v>Others</v>
      </c>
      <c r="M362" t="s">
        <v>38</v>
      </c>
      <c r="N362" t="str">
        <f t="shared" si="65"/>
        <v>Python</v>
      </c>
      <c r="O362" t="str">
        <f t="shared" si="66"/>
        <v>Python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tr">
        <f t="shared" si="67"/>
        <v>Good Work/Life Balance</v>
      </c>
      <c r="Y362" t="str">
        <f t="shared" si="68"/>
        <v>Good Work/Life Balance</v>
      </c>
      <c r="Z362" t="s">
        <v>69</v>
      </c>
      <c r="AA362">
        <v>92</v>
      </c>
      <c r="AB362" t="s">
        <v>151</v>
      </c>
      <c r="AC362" t="str">
        <f t="shared" si="69"/>
        <v>India</v>
      </c>
      <c r="AD362" t="str">
        <f t="shared" si="70"/>
        <v>India</v>
      </c>
      <c r="AE362" t="s">
        <v>244</v>
      </c>
      <c r="AF362" t="s">
        <v>52</v>
      </c>
      <c r="AG362" t="str">
        <f t="shared" si="60"/>
        <v>Asian or Asian American</v>
      </c>
      <c r="AH362" t="str">
        <f t="shared" si="71"/>
        <v>Asian or Asian American</v>
      </c>
    </row>
    <row r="363" spans="1:34" x14ac:dyDescent="0.25">
      <c r="A363" t="s">
        <v>1138</v>
      </c>
      <c r="B363" t="s">
        <v>1103</v>
      </c>
      <c r="C363" t="s">
        <v>1139</v>
      </c>
      <c r="D363" t="s">
        <v>1140</v>
      </c>
      <c r="E363" t="s">
        <v>34</v>
      </c>
      <c r="F363" t="str">
        <f t="shared" si="61"/>
        <v>Data Analyst</v>
      </c>
      <c r="G363" t="str">
        <f t="shared" si="62"/>
        <v>Data Analyst</v>
      </c>
      <c r="H363" t="s">
        <v>35</v>
      </c>
      <c r="I363" t="s">
        <v>57</v>
      </c>
      <c r="J363" t="s">
        <v>37</v>
      </c>
      <c r="K363" t="str">
        <f t="shared" si="63"/>
        <v>Healthcare</v>
      </c>
      <c r="L363" t="str">
        <f t="shared" si="64"/>
        <v>Healthcare</v>
      </c>
      <c r="M363" t="s">
        <v>38</v>
      </c>
      <c r="N363" t="str">
        <f t="shared" si="65"/>
        <v>Python</v>
      </c>
      <c r="O363" t="str">
        <f t="shared" si="66"/>
        <v>Python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tr">
        <f t="shared" si="67"/>
        <v>Remote Work</v>
      </c>
      <c r="Y363" t="str">
        <f t="shared" si="68"/>
        <v>Remote Work</v>
      </c>
      <c r="Z363" t="s">
        <v>41</v>
      </c>
      <c r="AA363">
        <v>28</v>
      </c>
      <c r="AB363" t="s">
        <v>61</v>
      </c>
      <c r="AC363" t="str">
        <f t="shared" si="69"/>
        <v>Nigeria</v>
      </c>
      <c r="AD363" t="str">
        <f t="shared" si="70"/>
        <v>Nigeria</v>
      </c>
      <c r="AE363" t="s">
        <v>241</v>
      </c>
      <c r="AF363" t="s">
        <v>62</v>
      </c>
      <c r="AG363" t="str">
        <f t="shared" si="60"/>
        <v>Black or African American</v>
      </c>
      <c r="AH363" t="str">
        <f t="shared" si="71"/>
        <v>Black or African American</v>
      </c>
    </row>
    <row r="364" spans="1:34" x14ac:dyDescent="0.25">
      <c r="A364" t="s">
        <v>1141</v>
      </c>
      <c r="B364" t="s">
        <v>1103</v>
      </c>
      <c r="C364" t="s">
        <v>1142</v>
      </c>
      <c r="D364" t="s">
        <v>161</v>
      </c>
      <c r="E364" t="s">
        <v>127</v>
      </c>
      <c r="F364" t="str">
        <f t="shared" si="61"/>
        <v>Student/Looking/None</v>
      </c>
      <c r="G364" t="str">
        <f t="shared" si="62"/>
        <v>Student/Looking/None</v>
      </c>
      <c r="H364" t="s">
        <v>35</v>
      </c>
      <c r="I364" t="s">
        <v>57</v>
      </c>
      <c r="J364" t="s">
        <v>112</v>
      </c>
      <c r="K364" t="str">
        <f t="shared" si="63"/>
        <v>Education</v>
      </c>
      <c r="L364" t="str">
        <f t="shared" si="64"/>
        <v>Education</v>
      </c>
      <c r="M364" t="s">
        <v>38</v>
      </c>
      <c r="N364" t="str">
        <f t="shared" si="65"/>
        <v>Python</v>
      </c>
      <c r="O364" t="str">
        <f t="shared" si="66"/>
        <v>Python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tr">
        <f t="shared" si="67"/>
        <v>Better Salary</v>
      </c>
      <c r="Y364" t="str">
        <f t="shared" si="68"/>
        <v>Better Salary</v>
      </c>
      <c r="Z364" t="s">
        <v>69</v>
      </c>
      <c r="AA364">
        <v>24</v>
      </c>
      <c r="AB364" t="s">
        <v>151</v>
      </c>
      <c r="AC364" t="str">
        <f t="shared" si="69"/>
        <v>India</v>
      </c>
      <c r="AD364" t="str">
        <f t="shared" si="70"/>
        <v>India</v>
      </c>
      <c r="AE364" t="s">
        <v>244</v>
      </c>
      <c r="AF364" t="s">
        <v>52</v>
      </c>
      <c r="AG364" t="str">
        <f t="shared" si="60"/>
        <v>Asian or Asian American</v>
      </c>
      <c r="AH364" t="str">
        <f t="shared" si="71"/>
        <v>Asian or Asian American</v>
      </c>
    </row>
    <row r="365" spans="1:34" x14ac:dyDescent="0.25">
      <c r="A365" t="s">
        <v>1143</v>
      </c>
      <c r="B365" t="s">
        <v>1103</v>
      </c>
      <c r="C365" t="s">
        <v>1144</v>
      </c>
      <c r="D365" t="s">
        <v>1145</v>
      </c>
      <c r="E365" t="s">
        <v>1146</v>
      </c>
      <c r="F365" t="str">
        <f t="shared" si="61"/>
        <v>Informatics Specialist</v>
      </c>
      <c r="G365" t="str">
        <f t="shared" si="62"/>
        <v>Others</v>
      </c>
      <c r="H365" t="s">
        <v>47</v>
      </c>
      <c r="I365" t="s">
        <v>48</v>
      </c>
      <c r="J365" t="s">
        <v>37</v>
      </c>
      <c r="K365" t="str">
        <f t="shared" si="63"/>
        <v>Healthcare</v>
      </c>
      <c r="L365" t="str">
        <f t="shared" si="64"/>
        <v>Healthcare</v>
      </c>
      <c r="M365" t="s">
        <v>38</v>
      </c>
      <c r="N365" t="str">
        <f t="shared" si="65"/>
        <v>Python</v>
      </c>
      <c r="O365" t="str">
        <f t="shared" si="66"/>
        <v>Python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tr">
        <f t="shared" si="67"/>
        <v>Better Salary</v>
      </c>
      <c r="Y365" t="str">
        <f t="shared" si="68"/>
        <v>Better Salary</v>
      </c>
      <c r="Z365" t="s">
        <v>41</v>
      </c>
      <c r="AA365">
        <v>25</v>
      </c>
      <c r="AB365" t="s">
        <v>42</v>
      </c>
      <c r="AC365" t="str">
        <f t="shared" si="69"/>
        <v>United States</v>
      </c>
      <c r="AD365" t="str">
        <f t="shared" si="70"/>
        <v>United States</v>
      </c>
      <c r="AE365" t="s">
        <v>244</v>
      </c>
      <c r="AF365" t="s">
        <v>52</v>
      </c>
      <c r="AG365" t="str">
        <f t="shared" si="60"/>
        <v>Asian or Asian American</v>
      </c>
      <c r="AH365" t="str">
        <f t="shared" si="71"/>
        <v>Asian or Asian American</v>
      </c>
    </row>
    <row r="366" spans="1:34" x14ac:dyDescent="0.25">
      <c r="A366" t="s">
        <v>1147</v>
      </c>
      <c r="B366" t="s">
        <v>1103</v>
      </c>
      <c r="C366" t="s">
        <v>1148</v>
      </c>
      <c r="D366" t="s">
        <v>1149</v>
      </c>
      <c r="E366" t="s">
        <v>34</v>
      </c>
      <c r="F366" t="str">
        <f t="shared" si="61"/>
        <v>Data Analyst</v>
      </c>
      <c r="G366" t="str">
        <f t="shared" si="62"/>
        <v>Data Analyst</v>
      </c>
      <c r="H366" t="s">
        <v>35</v>
      </c>
      <c r="I366" t="s">
        <v>48</v>
      </c>
      <c r="J366" t="s">
        <v>49</v>
      </c>
      <c r="K366" t="str">
        <f t="shared" si="63"/>
        <v>Finance</v>
      </c>
      <c r="L366" t="str">
        <f t="shared" si="64"/>
        <v>Finance</v>
      </c>
      <c r="M366" t="s">
        <v>38</v>
      </c>
      <c r="N366" t="str">
        <f t="shared" si="65"/>
        <v>Python</v>
      </c>
      <c r="O366" t="str">
        <f t="shared" si="66"/>
        <v>Python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tr">
        <f t="shared" si="67"/>
        <v>Good Work/Life Balance</v>
      </c>
      <c r="Y366" t="str">
        <f t="shared" si="68"/>
        <v>Good Work/Life Balance</v>
      </c>
      <c r="Z366" t="s">
        <v>41</v>
      </c>
      <c r="AA366">
        <v>42</v>
      </c>
      <c r="AB366" t="s">
        <v>113</v>
      </c>
      <c r="AC366" t="str">
        <f t="shared" si="69"/>
        <v>United Kingdom</v>
      </c>
      <c r="AD366" t="str">
        <f t="shared" si="70"/>
        <v>United Kingdom</v>
      </c>
      <c r="AE366" t="s">
        <v>244</v>
      </c>
      <c r="AF366" t="s">
        <v>62</v>
      </c>
      <c r="AG366" t="str">
        <f t="shared" si="60"/>
        <v>Black or African American</v>
      </c>
      <c r="AH366" t="str">
        <f t="shared" si="71"/>
        <v>Black or African American</v>
      </c>
    </row>
    <row r="367" spans="1:34" x14ac:dyDescent="0.25">
      <c r="A367" t="s">
        <v>1150</v>
      </c>
      <c r="B367" t="s">
        <v>1103</v>
      </c>
      <c r="C367" t="s">
        <v>1151</v>
      </c>
      <c r="D367" t="s">
        <v>130</v>
      </c>
      <c r="E367" t="s">
        <v>34</v>
      </c>
      <c r="F367" t="str">
        <f t="shared" si="61"/>
        <v>Data Analyst</v>
      </c>
      <c r="G367" t="str">
        <f t="shared" si="62"/>
        <v>Data Analyst</v>
      </c>
      <c r="H367" t="s">
        <v>35</v>
      </c>
      <c r="I367" t="s">
        <v>57</v>
      </c>
      <c r="J367" t="s">
        <v>107</v>
      </c>
      <c r="K367" t="str">
        <f t="shared" si="63"/>
        <v>Tech</v>
      </c>
      <c r="L367" t="str">
        <f t="shared" si="64"/>
        <v>Tech</v>
      </c>
      <c r="M367" t="s">
        <v>38</v>
      </c>
      <c r="N367" t="str">
        <f t="shared" si="65"/>
        <v>Python</v>
      </c>
      <c r="O367" t="str">
        <f t="shared" si="66"/>
        <v>Python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tr">
        <f t="shared" si="67"/>
        <v>Better Salary</v>
      </c>
      <c r="Y367" t="str">
        <f t="shared" si="68"/>
        <v>Better Salary</v>
      </c>
      <c r="Z367" t="s">
        <v>41</v>
      </c>
      <c r="AA367">
        <v>21</v>
      </c>
      <c r="AB367" t="s">
        <v>151</v>
      </c>
      <c r="AC367" t="str">
        <f t="shared" si="69"/>
        <v>India</v>
      </c>
      <c r="AD367" t="str">
        <f t="shared" si="70"/>
        <v>India</v>
      </c>
      <c r="AE367" t="s">
        <v>241</v>
      </c>
      <c r="AF367" t="s">
        <v>52</v>
      </c>
      <c r="AG367" t="str">
        <f t="shared" si="60"/>
        <v>Asian or Asian American</v>
      </c>
      <c r="AH367" t="str">
        <f t="shared" si="71"/>
        <v>Asian or Asian American</v>
      </c>
    </row>
    <row r="368" spans="1:34" x14ac:dyDescent="0.25">
      <c r="A368" t="s">
        <v>1152</v>
      </c>
      <c r="B368" t="s">
        <v>1103</v>
      </c>
      <c r="C368" t="s">
        <v>1153</v>
      </c>
      <c r="D368" t="s">
        <v>303</v>
      </c>
      <c r="E368" t="s">
        <v>34</v>
      </c>
      <c r="F368" t="str">
        <f t="shared" si="61"/>
        <v>Data Analyst</v>
      </c>
      <c r="G368" t="str">
        <f t="shared" si="62"/>
        <v>Data Analyst</v>
      </c>
      <c r="H368" t="s">
        <v>47</v>
      </c>
      <c r="I368" t="s">
        <v>98</v>
      </c>
      <c r="J368" t="s">
        <v>37</v>
      </c>
      <c r="K368" t="str">
        <f t="shared" si="63"/>
        <v>Healthcare</v>
      </c>
      <c r="L368" t="str">
        <f t="shared" si="64"/>
        <v>Healthcare</v>
      </c>
      <c r="M368" t="s">
        <v>38</v>
      </c>
      <c r="N368" t="str">
        <f t="shared" si="65"/>
        <v>Python</v>
      </c>
      <c r="O368" t="str">
        <f t="shared" si="66"/>
        <v>Python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tr">
        <f t="shared" si="67"/>
        <v>Better Salary</v>
      </c>
      <c r="Y368" t="str">
        <f t="shared" si="68"/>
        <v>Better Salary</v>
      </c>
      <c r="Z368" t="s">
        <v>41</v>
      </c>
      <c r="AA368">
        <v>24</v>
      </c>
      <c r="AB368" t="s">
        <v>42</v>
      </c>
      <c r="AC368" t="str">
        <f t="shared" si="69"/>
        <v>United States</v>
      </c>
      <c r="AD368" t="str">
        <f t="shared" si="70"/>
        <v>United States</v>
      </c>
      <c r="AE368" t="s">
        <v>241</v>
      </c>
      <c r="AF368" t="s">
        <v>43</v>
      </c>
      <c r="AG368" t="str">
        <f t="shared" si="60"/>
        <v>White or Caucasian</v>
      </c>
      <c r="AH368" t="str">
        <f t="shared" si="71"/>
        <v>White or Caucasian</v>
      </c>
    </row>
    <row r="369" spans="1:34" x14ac:dyDescent="0.25">
      <c r="A369" t="s">
        <v>1154</v>
      </c>
      <c r="B369" t="s">
        <v>1103</v>
      </c>
      <c r="C369" t="s">
        <v>1155</v>
      </c>
      <c r="D369" t="s">
        <v>210</v>
      </c>
      <c r="E369" t="s">
        <v>34</v>
      </c>
      <c r="F369" t="str">
        <f t="shared" si="61"/>
        <v>Data Analyst</v>
      </c>
      <c r="G369" t="str">
        <f t="shared" si="62"/>
        <v>Data Analyst</v>
      </c>
      <c r="H369" t="s">
        <v>35</v>
      </c>
      <c r="I369" t="s">
        <v>48</v>
      </c>
      <c r="J369" t="s">
        <v>37</v>
      </c>
      <c r="K369" t="str">
        <f t="shared" si="63"/>
        <v>Healthcare</v>
      </c>
      <c r="L369" t="str">
        <f t="shared" si="64"/>
        <v>Healthcare</v>
      </c>
      <c r="M369" t="s">
        <v>38</v>
      </c>
      <c r="N369" t="str">
        <f t="shared" si="65"/>
        <v>Python</v>
      </c>
      <c r="O369" t="str">
        <f t="shared" si="66"/>
        <v>Python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tr">
        <f t="shared" si="67"/>
        <v>Better Salary</v>
      </c>
      <c r="Y369" t="str">
        <f t="shared" si="68"/>
        <v>Better Salary</v>
      </c>
      <c r="Z369" t="s">
        <v>69</v>
      </c>
      <c r="AA369">
        <v>26</v>
      </c>
      <c r="AB369" t="s">
        <v>42</v>
      </c>
      <c r="AC369" t="str">
        <f t="shared" si="69"/>
        <v>United States</v>
      </c>
      <c r="AD369" t="str">
        <f t="shared" si="70"/>
        <v>United States</v>
      </c>
      <c r="AE369" t="s">
        <v>241</v>
      </c>
      <c r="AF369" t="s">
        <v>43</v>
      </c>
      <c r="AG369" t="str">
        <f t="shared" si="60"/>
        <v>White or Caucasian</v>
      </c>
      <c r="AH369" t="str">
        <f t="shared" si="71"/>
        <v>White or Caucasian</v>
      </c>
    </row>
    <row r="370" spans="1:34" x14ac:dyDescent="0.25">
      <c r="A370" t="s">
        <v>1156</v>
      </c>
      <c r="B370" t="s">
        <v>1103</v>
      </c>
      <c r="C370" t="s">
        <v>1157</v>
      </c>
      <c r="D370" t="s">
        <v>494</v>
      </c>
      <c r="E370" t="s">
        <v>34</v>
      </c>
      <c r="F370" t="str">
        <f t="shared" si="61"/>
        <v>Data Analyst</v>
      </c>
      <c r="G370" t="str">
        <f t="shared" si="62"/>
        <v>Data Analyst</v>
      </c>
      <c r="H370" t="s">
        <v>35</v>
      </c>
      <c r="I370" t="s">
        <v>57</v>
      </c>
      <c r="J370" t="s">
        <v>1158</v>
      </c>
      <c r="K370" t="str">
        <f t="shared" si="63"/>
        <v>Cosmetics</v>
      </c>
      <c r="L370" t="str">
        <f t="shared" si="64"/>
        <v>Others</v>
      </c>
      <c r="M370" t="s">
        <v>38</v>
      </c>
      <c r="N370" t="str">
        <f t="shared" si="65"/>
        <v>Python</v>
      </c>
      <c r="O370" t="str">
        <f t="shared" si="66"/>
        <v>Python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tr">
        <f t="shared" si="67"/>
        <v>Better Salary</v>
      </c>
      <c r="Y370" t="str">
        <f t="shared" si="68"/>
        <v>Better Salary</v>
      </c>
      <c r="Z370" t="s">
        <v>41</v>
      </c>
      <c r="AA370">
        <v>30</v>
      </c>
      <c r="AB370" t="s">
        <v>113</v>
      </c>
      <c r="AC370" t="str">
        <f t="shared" si="69"/>
        <v>United Kingdom</v>
      </c>
      <c r="AD370" t="str">
        <f t="shared" si="70"/>
        <v>United Kingdom</v>
      </c>
      <c r="AE370" t="s">
        <v>241</v>
      </c>
      <c r="AF370" t="s">
        <v>43</v>
      </c>
      <c r="AG370" t="str">
        <f t="shared" si="60"/>
        <v>White or Caucasian</v>
      </c>
      <c r="AH370" t="str">
        <f t="shared" si="71"/>
        <v>White or Caucasian</v>
      </c>
    </row>
    <row r="371" spans="1:34" x14ac:dyDescent="0.25">
      <c r="A371" t="s">
        <v>1159</v>
      </c>
      <c r="B371" t="s">
        <v>1103</v>
      </c>
      <c r="C371" t="s">
        <v>1160</v>
      </c>
      <c r="D371" t="s">
        <v>1161</v>
      </c>
      <c r="E371" t="s">
        <v>56</v>
      </c>
      <c r="F371" t="str">
        <f t="shared" si="61"/>
        <v>Data Engineer</v>
      </c>
      <c r="G371" t="str">
        <f t="shared" si="62"/>
        <v>Data Engineer</v>
      </c>
      <c r="H371" t="s">
        <v>35</v>
      </c>
      <c r="I371" t="s">
        <v>91</v>
      </c>
      <c r="J371" t="s">
        <v>1162</v>
      </c>
      <c r="K371" t="str">
        <f t="shared" si="63"/>
        <v>Digital Mar</v>
      </c>
      <c r="L371" t="str">
        <f t="shared" si="64"/>
        <v>Others</v>
      </c>
      <c r="M371" t="s">
        <v>88</v>
      </c>
      <c r="N371" t="str">
        <f t="shared" si="65"/>
        <v>SQL</v>
      </c>
      <c r="O371" t="str">
        <f t="shared" si="66"/>
        <v>SQL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tr">
        <f t="shared" si="67"/>
        <v>Good Culture</v>
      </c>
      <c r="Y371" t="str">
        <f t="shared" si="68"/>
        <v>Good Culture</v>
      </c>
      <c r="Z371" t="s">
        <v>41</v>
      </c>
      <c r="AA371">
        <v>27</v>
      </c>
      <c r="AB371" t="s">
        <v>42</v>
      </c>
      <c r="AC371" t="str">
        <f t="shared" si="69"/>
        <v>United States</v>
      </c>
      <c r="AD371" t="str">
        <f t="shared" si="70"/>
        <v>United States</v>
      </c>
      <c r="AE371" t="s">
        <v>241</v>
      </c>
      <c r="AF371" t="s">
        <v>62</v>
      </c>
      <c r="AG371" t="str">
        <f t="shared" si="60"/>
        <v>Black or African American</v>
      </c>
      <c r="AH371" t="str">
        <f t="shared" si="71"/>
        <v>Black or African American</v>
      </c>
    </row>
    <row r="372" spans="1:34" x14ac:dyDescent="0.25">
      <c r="A372" t="s">
        <v>1163</v>
      </c>
      <c r="B372" t="s">
        <v>1103</v>
      </c>
      <c r="C372" t="s">
        <v>1164</v>
      </c>
      <c r="D372" t="s">
        <v>650</v>
      </c>
      <c r="E372" t="s">
        <v>56</v>
      </c>
      <c r="F372" t="str">
        <f t="shared" si="61"/>
        <v>Data Engineer</v>
      </c>
      <c r="G372" t="str">
        <f t="shared" si="62"/>
        <v>Data Engineer</v>
      </c>
      <c r="H372" t="s">
        <v>35</v>
      </c>
      <c r="I372" t="s">
        <v>57</v>
      </c>
      <c r="J372" t="s">
        <v>107</v>
      </c>
      <c r="K372" t="str">
        <f t="shared" si="63"/>
        <v>Tech</v>
      </c>
      <c r="L372" t="str">
        <f t="shared" si="64"/>
        <v>Tech</v>
      </c>
      <c r="M372" t="s">
        <v>38</v>
      </c>
      <c r="N372" t="str">
        <f t="shared" si="65"/>
        <v>Python</v>
      </c>
      <c r="O372" t="str">
        <f t="shared" si="66"/>
        <v>Python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tr">
        <f t="shared" si="67"/>
        <v>Better Salary</v>
      </c>
      <c r="Y372" t="str">
        <f t="shared" si="68"/>
        <v>Better Salary</v>
      </c>
      <c r="Z372" t="s">
        <v>41</v>
      </c>
      <c r="AA372">
        <v>28</v>
      </c>
      <c r="AB372" t="s">
        <v>151</v>
      </c>
      <c r="AC372" t="str">
        <f t="shared" si="69"/>
        <v>India</v>
      </c>
      <c r="AD372" t="str">
        <f t="shared" si="70"/>
        <v>India</v>
      </c>
      <c r="AE372" t="s">
        <v>241</v>
      </c>
      <c r="AF372" t="s">
        <v>52</v>
      </c>
      <c r="AG372" t="str">
        <f t="shared" si="60"/>
        <v>Asian or Asian American</v>
      </c>
      <c r="AH372" t="str">
        <f t="shared" si="71"/>
        <v>Asian or Asian American</v>
      </c>
    </row>
    <row r="373" spans="1:34" x14ac:dyDescent="0.25">
      <c r="A373" t="s">
        <v>1165</v>
      </c>
      <c r="B373" t="s">
        <v>1103</v>
      </c>
      <c r="C373" t="s">
        <v>1166</v>
      </c>
      <c r="D373" t="s">
        <v>817</v>
      </c>
      <c r="E373" t="s">
        <v>34</v>
      </c>
      <c r="F373" t="str">
        <f t="shared" si="61"/>
        <v>Data Analyst</v>
      </c>
      <c r="G373" t="str">
        <f t="shared" si="62"/>
        <v>Data Analyst</v>
      </c>
      <c r="H373" t="s">
        <v>47</v>
      </c>
      <c r="I373" t="s">
        <v>98</v>
      </c>
      <c r="J373" t="s">
        <v>716</v>
      </c>
      <c r="K373" t="str">
        <f t="shared" si="63"/>
        <v>Real Estate</v>
      </c>
      <c r="L373" t="str">
        <f t="shared" si="64"/>
        <v>Real Estate</v>
      </c>
      <c r="M373" t="s">
        <v>88</v>
      </c>
      <c r="N373" t="str">
        <f t="shared" si="65"/>
        <v>SQL</v>
      </c>
      <c r="O373" t="str">
        <f t="shared" si="66"/>
        <v>SQL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tr">
        <f t="shared" si="67"/>
        <v>Better Salary</v>
      </c>
      <c r="Y373" t="str">
        <f t="shared" si="68"/>
        <v>Better Salary</v>
      </c>
      <c r="Z373" t="s">
        <v>69</v>
      </c>
      <c r="AA373">
        <v>29</v>
      </c>
      <c r="AB373" t="s">
        <v>113</v>
      </c>
      <c r="AC373" t="str">
        <f t="shared" si="69"/>
        <v>United Kingdom</v>
      </c>
      <c r="AD373" t="str">
        <f t="shared" si="70"/>
        <v>United Kingdom</v>
      </c>
      <c r="AE373" t="s">
        <v>241</v>
      </c>
      <c r="AF373" t="s">
        <v>43</v>
      </c>
      <c r="AG373" t="str">
        <f t="shared" si="60"/>
        <v>White or Caucasian</v>
      </c>
      <c r="AH373" t="str">
        <f t="shared" si="71"/>
        <v>White or Caucasian</v>
      </c>
    </row>
    <row r="374" spans="1:34" x14ac:dyDescent="0.25">
      <c r="A374" t="s">
        <v>1167</v>
      </c>
      <c r="B374" t="s">
        <v>1103</v>
      </c>
      <c r="C374" t="s">
        <v>1168</v>
      </c>
      <c r="D374" t="s">
        <v>292</v>
      </c>
      <c r="E374" t="s">
        <v>34</v>
      </c>
      <c r="F374" t="str">
        <f t="shared" si="61"/>
        <v>Data Analyst</v>
      </c>
      <c r="G374" t="str">
        <f t="shared" si="62"/>
        <v>Data Analyst</v>
      </c>
      <c r="H374" t="s">
        <v>47</v>
      </c>
      <c r="I374" t="s">
        <v>57</v>
      </c>
      <c r="J374" t="s">
        <v>1169</v>
      </c>
      <c r="K374" t="str">
        <f t="shared" si="63"/>
        <v>Home maker</v>
      </c>
      <c r="L374" t="str">
        <f t="shared" si="64"/>
        <v>Others</v>
      </c>
      <c r="M374" t="s">
        <v>38</v>
      </c>
      <c r="N374" t="str">
        <f t="shared" si="65"/>
        <v>Python</v>
      </c>
      <c r="O374" t="str">
        <f t="shared" si="66"/>
        <v>Python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tr">
        <f t="shared" si="67"/>
        <v>Good Work/Life Balance</v>
      </c>
      <c r="Y374" t="str">
        <f t="shared" si="68"/>
        <v>Good Work/Life Balance</v>
      </c>
      <c r="Z374" t="s">
        <v>69</v>
      </c>
      <c r="AA374">
        <v>26</v>
      </c>
      <c r="AB374" t="s">
        <v>151</v>
      </c>
      <c r="AC374" t="str">
        <f t="shared" si="69"/>
        <v>India</v>
      </c>
      <c r="AD374" t="str">
        <f t="shared" si="70"/>
        <v>India</v>
      </c>
      <c r="AE374" t="s">
        <v>241</v>
      </c>
      <c r="AF374" t="s">
        <v>52</v>
      </c>
      <c r="AG374" t="str">
        <f t="shared" si="60"/>
        <v>Asian or Asian American</v>
      </c>
      <c r="AH374" t="str">
        <f t="shared" si="71"/>
        <v>Asian or Asian American</v>
      </c>
    </row>
    <row r="375" spans="1:34" x14ac:dyDescent="0.25">
      <c r="A375" t="s">
        <v>1170</v>
      </c>
      <c r="B375" t="s">
        <v>1103</v>
      </c>
      <c r="C375" t="s">
        <v>1171</v>
      </c>
      <c r="D375" t="s">
        <v>228</v>
      </c>
      <c r="E375" t="s">
        <v>56</v>
      </c>
      <c r="F375" t="str">
        <f t="shared" si="61"/>
        <v>Data Engineer</v>
      </c>
      <c r="G375" t="str">
        <f t="shared" si="62"/>
        <v>Data Engineer</v>
      </c>
      <c r="H375" t="s">
        <v>35</v>
      </c>
      <c r="I375" t="s">
        <v>57</v>
      </c>
      <c r="J375" t="s">
        <v>49</v>
      </c>
      <c r="K375" t="str">
        <f t="shared" si="63"/>
        <v>Finance</v>
      </c>
      <c r="L375" t="str">
        <f t="shared" si="64"/>
        <v>Finance</v>
      </c>
      <c r="M375" t="s">
        <v>38</v>
      </c>
      <c r="N375" t="str">
        <f t="shared" si="65"/>
        <v>Python</v>
      </c>
      <c r="O375" t="str">
        <f t="shared" si="66"/>
        <v>Python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tr">
        <f t="shared" si="67"/>
        <v>Remote Work</v>
      </c>
      <c r="Y375" t="str">
        <f t="shared" si="68"/>
        <v>Remote Work</v>
      </c>
      <c r="Z375" t="s">
        <v>41</v>
      </c>
      <c r="AA375">
        <v>29</v>
      </c>
      <c r="AB375" t="s">
        <v>1172</v>
      </c>
      <c r="AC375" t="str">
        <f t="shared" si="69"/>
        <v>Africa (Nigeria)</v>
      </c>
      <c r="AD375" t="str">
        <f t="shared" si="70"/>
        <v>Others</v>
      </c>
      <c r="AE375" t="s">
        <v>241</v>
      </c>
      <c r="AF375" t="s">
        <v>62</v>
      </c>
      <c r="AG375" t="str">
        <f t="shared" si="60"/>
        <v>Black or African American</v>
      </c>
      <c r="AH375" t="str">
        <f t="shared" si="71"/>
        <v>Black or African American</v>
      </c>
    </row>
    <row r="376" spans="1:34" x14ac:dyDescent="0.25">
      <c r="A376" t="s">
        <v>1173</v>
      </c>
      <c r="B376" t="s">
        <v>1103</v>
      </c>
      <c r="C376" t="s">
        <v>1174</v>
      </c>
      <c r="D376" t="s">
        <v>72</v>
      </c>
      <c r="E376" t="s">
        <v>1175</v>
      </c>
      <c r="F376" t="str">
        <f t="shared" si="61"/>
        <v>Business Analys</v>
      </c>
      <c r="G376" t="str">
        <f t="shared" si="62"/>
        <v>Others</v>
      </c>
      <c r="H376" t="s">
        <v>47</v>
      </c>
      <c r="I376" t="s">
        <v>98</v>
      </c>
      <c r="J376" t="s">
        <v>49</v>
      </c>
      <c r="K376" t="str">
        <f t="shared" si="63"/>
        <v>Finance</v>
      </c>
      <c r="L376" t="str">
        <f t="shared" si="64"/>
        <v>Finance</v>
      </c>
      <c r="M376" t="s">
        <v>678</v>
      </c>
      <c r="N376" t="str">
        <f t="shared" si="65"/>
        <v>None</v>
      </c>
      <c r="O376" t="str">
        <f t="shared" si="66"/>
        <v>None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tr">
        <f t="shared" si="67"/>
        <v>Remote Work</v>
      </c>
      <c r="Y376" t="str">
        <f t="shared" si="68"/>
        <v>Remote Work</v>
      </c>
      <c r="Z376" t="s">
        <v>41</v>
      </c>
      <c r="AA376">
        <v>60</v>
      </c>
      <c r="AB376" t="s">
        <v>113</v>
      </c>
      <c r="AC376" t="str">
        <f t="shared" si="69"/>
        <v>United Kingdom</v>
      </c>
      <c r="AD376" t="str">
        <f t="shared" si="70"/>
        <v>United Kingdom</v>
      </c>
      <c r="AE376" t="s">
        <v>244</v>
      </c>
      <c r="AF376" t="s">
        <v>43</v>
      </c>
      <c r="AG376" t="str">
        <f t="shared" si="60"/>
        <v>White or Caucasian</v>
      </c>
      <c r="AH376" t="str">
        <f t="shared" si="71"/>
        <v>White or Caucasian</v>
      </c>
    </row>
    <row r="377" spans="1:34" x14ac:dyDescent="0.25">
      <c r="A377" t="s">
        <v>1176</v>
      </c>
      <c r="B377" t="s">
        <v>1103</v>
      </c>
      <c r="C377" t="s">
        <v>1177</v>
      </c>
      <c r="D377" t="s">
        <v>410</v>
      </c>
      <c r="E377" t="s">
        <v>34</v>
      </c>
      <c r="F377" t="str">
        <f t="shared" si="61"/>
        <v>Data Analyst</v>
      </c>
      <c r="G377" t="str">
        <f t="shared" si="62"/>
        <v>Data Analyst</v>
      </c>
      <c r="H377" t="s">
        <v>35</v>
      </c>
      <c r="I377" t="s">
        <v>57</v>
      </c>
      <c r="J377" t="s">
        <v>37</v>
      </c>
      <c r="K377" t="str">
        <f t="shared" si="63"/>
        <v>Healthcare</v>
      </c>
      <c r="L377" t="str">
        <f t="shared" si="64"/>
        <v>Healthcare</v>
      </c>
      <c r="M377" t="s">
        <v>38</v>
      </c>
      <c r="N377" t="str">
        <f t="shared" si="65"/>
        <v>Python</v>
      </c>
      <c r="O377" t="str">
        <f t="shared" si="66"/>
        <v>Python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tr">
        <f t="shared" si="67"/>
        <v>Better Salary</v>
      </c>
      <c r="Y377" t="str">
        <f t="shared" si="68"/>
        <v>Better Salary</v>
      </c>
      <c r="Z377" t="s">
        <v>41</v>
      </c>
      <c r="AA377">
        <v>25</v>
      </c>
      <c r="AB377" t="s">
        <v>423</v>
      </c>
      <c r="AC377" t="str">
        <f t="shared" si="69"/>
        <v>Nigeria</v>
      </c>
      <c r="AD377" t="str">
        <f t="shared" si="70"/>
        <v>Nigeria</v>
      </c>
      <c r="AE377" t="s">
        <v>241</v>
      </c>
      <c r="AF377" t="s">
        <v>62</v>
      </c>
      <c r="AG377" t="str">
        <f t="shared" si="60"/>
        <v>Black or African American</v>
      </c>
      <c r="AH377" t="str">
        <f t="shared" si="71"/>
        <v>Black or African American</v>
      </c>
    </row>
    <row r="378" spans="1:34" x14ac:dyDescent="0.25">
      <c r="A378" t="s">
        <v>1178</v>
      </c>
      <c r="B378" t="s">
        <v>1103</v>
      </c>
      <c r="C378" t="s">
        <v>1179</v>
      </c>
      <c r="D378" t="s">
        <v>813</v>
      </c>
      <c r="E378" t="s">
        <v>1180</v>
      </c>
      <c r="F378" t="str">
        <f t="shared" si="61"/>
        <v>Finance Analyst</v>
      </c>
      <c r="G378" t="str">
        <f t="shared" si="62"/>
        <v>Others</v>
      </c>
      <c r="H378" t="s">
        <v>47</v>
      </c>
      <c r="I378" t="s">
        <v>57</v>
      </c>
      <c r="J378" t="s">
        <v>117</v>
      </c>
      <c r="K378" t="str">
        <f t="shared" si="63"/>
        <v>Construction</v>
      </c>
      <c r="L378" t="str">
        <f t="shared" si="64"/>
        <v>Construction</v>
      </c>
      <c r="M378" t="s">
        <v>50</v>
      </c>
      <c r="N378" t="str">
        <f t="shared" si="65"/>
        <v>R</v>
      </c>
      <c r="O378" t="str">
        <f t="shared" si="66"/>
        <v>R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tr">
        <f t="shared" si="67"/>
        <v>Good Work/Life Balance</v>
      </c>
      <c r="Y378" t="str">
        <f t="shared" si="68"/>
        <v>Good Work/Life Balance</v>
      </c>
      <c r="Z378" t="s">
        <v>69</v>
      </c>
      <c r="AA378">
        <v>37</v>
      </c>
      <c r="AB378" t="s">
        <v>423</v>
      </c>
      <c r="AC378" t="str">
        <f t="shared" si="69"/>
        <v>Nigeria</v>
      </c>
      <c r="AD378" t="str">
        <f t="shared" si="70"/>
        <v>Nigeria</v>
      </c>
      <c r="AE378" t="s">
        <v>244</v>
      </c>
      <c r="AF378" t="s">
        <v>652</v>
      </c>
      <c r="AG378" t="str">
        <f t="shared" si="60"/>
        <v>African</v>
      </c>
      <c r="AH378" t="str">
        <f t="shared" si="71"/>
        <v>African</v>
      </c>
    </row>
    <row r="379" spans="1:34" x14ac:dyDescent="0.25">
      <c r="A379" t="s">
        <v>1181</v>
      </c>
      <c r="B379" t="s">
        <v>1103</v>
      </c>
      <c r="C379" t="s">
        <v>1182</v>
      </c>
      <c r="D379" t="s">
        <v>619</v>
      </c>
      <c r="E379" t="s">
        <v>34</v>
      </c>
      <c r="F379" t="str">
        <f t="shared" si="61"/>
        <v>Data Analyst</v>
      </c>
      <c r="G379" t="str">
        <f t="shared" si="62"/>
        <v>Data Analyst</v>
      </c>
      <c r="H379" t="s">
        <v>35</v>
      </c>
      <c r="I379" t="s">
        <v>98</v>
      </c>
      <c r="J379" t="s">
        <v>49</v>
      </c>
      <c r="K379" t="str">
        <f t="shared" si="63"/>
        <v>Finance</v>
      </c>
      <c r="L379" t="str">
        <f t="shared" si="64"/>
        <v>Finance</v>
      </c>
      <c r="M379" t="s">
        <v>38</v>
      </c>
      <c r="N379" t="str">
        <f t="shared" si="65"/>
        <v>Python</v>
      </c>
      <c r="O379" t="str">
        <f t="shared" si="66"/>
        <v>Python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tr">
        <f t="shared" si="67"/>
        <v>Better Salary</v>
      </c>
      <c r="Y379" t="str">
        <f t="shared" si="68"/>
        <v>Better Salary</v>
      </c>
      <c r="Z379" t="s">
        <v>69</v>
      </c>
      <c r="AA379">
        <v>30</v>
      </c>
      <c r="AB379" t="s">
        <v>51</v>
      </c>
      <c r="AC379" t="str">
        <f t="shared" si="69"/>
        <v>Canada</v>
      </c>
      <c r="AD379" t="str">
        <f t="shared" si="70"/>
        <v>Canada</v>
      </c>
      <c r="AE379" t="s">
        <v>241</v>
      </c>
      <c r="AF379" t="s">
        <v>52</v>
      </c>
      <c r="AG379" t="str">
        <f t="shared" si="60"/>
        <v>Asian or Asian American</v>
      </c>
      <c r="AH379" t="str">
        <f t="shared" si="71"/>
        <v>Asian or Asian American</v>
      </c>
    </row>
    <row r="380" spans="1:34" x14ac:dyDescent="0.25">
      <c r="A380" t="s">
        <v>1183</v>
      </c>
      <c r="B380" t="s">
        <v>1103</v>
      </c>
      <c r="C380" t="s">
        <v>1184</v>
      </c>
      <c r="D380" t="s">
        <v>1185</v>
      </c>
      <c r="E380" t="s">
        <v>34</v>
      </c>
      <c r="F380" t="str">
        <f t="shared" si="61"/>
        <v>Data Analyst</v>
      </c>
      <c r="G380" t="str">
        <f t="shared" si="62"/>
        <v>Data Analyst</v>
      </c>
      <c r="H380" t="s">
        <v>35</v>
      </c>
      <c r="I380" t="s">
        <v>57</v>
      </c>
      <c r="J380" t="s">
        <v>37</v>
      </c>
      <c r="K380" t="str">
        <f t="shared" si="63"/>
        <v>Healthcare</v>
      </c>
      <c r="L380" t="str">
        <f t="shared" si="64"/>
        <v>Healthcare</v>
      </c>
      <c r="M380" t="s">
        <v>38</v>
      </c>
      <c r="N380" t="str">
        <f t="shared" si="65"/>
        <v>Python</v>
      </c>
      <c r="O380" t="str">
        <f t="shared" si="66"/>
        <v>Python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tr">
        <f t="shared" si="67"/>
        <v>Better Salary</v>
      </c>
      <c r="Y380" t="str">
        <f t="shared" si="68"/>
        <v>Better Salary</v>
      </c>
      <c r="Z380" t="s">
        <v>69</v>
      </c>
      <c r="AA380">
        <v>27</v>
      </c>
      <c r="AB380" t="s">
        <v>423</v>
      </c>
      <c r="AC380" t="str">
        <f t="shared" si="69"/>
        <v>Nigeria</v>
      </c>
      <c r="AD380" t="str">
        <f t="shared" si="70"/>
        <v>Nigeria</v>
      </c>
      <c r="AE380" t="s">
        <v>244</v>
      </c>
      <c r="AF380" t="s">
        <v>62</v>
      </c>
      <c r="AG380" t="str">
        <f t="shared" si="60"/>
        <v>Black or African American</v>
      </c>
      <c r="AH380" t="str">
        <f t="shared" si="71"/>
        <v>Black or African American</v>
      </c>
    </row>
    <row r="381" spans="1:34" x14ac:dyDescent="0.25">
      <c r="A381" t="s">
        <v>1186</v>
      </c>
      <c r="B381" t="s">
        <v>1103</v>
      </c>
      <c r="C381" t="s">
        <v>1187</v>
      </c>
      <c r="D381" t="s">
        <v>126</v>
      </c>
      <c r="E381" t="s">
        <v>81</v>
      </c>
      <c r="F381" t="str">
        <f t="shared" si="61"/>
        <v>Data Scientist</v>
      </c>
      <c r="G381" t="str">
        <f t="shared" si="62"/>
        <v>Data Scientist</v>
      </c>
      <c r="H381" t="s">
        <v>35</v>
      </c>
      <c r="I381" t="s">
        <v>1188</v>
      </c>
      <c r="J381" t="s">
        <v>107</v>
      </c>
      <c r="K381" t="str">
        <f t="shared" si="63"/>
        <v>Tech</v>
      </c>
      <c r="L381" t="str">
        <f t="shared" si="64"/>
        <v>Tech</v>
      </c>
      <c r="M381" t="s">
        <v>50</v>
      </c>
      <c r="N381" t="str">
        <f t="shared" si="65"/>
        <v>R</v>
      </c>
      <c r="O381" t="str">
        <f t="shared" si="66"/>
        <v>R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tr">
        <f t="shared" si="67"/>
        <v>In office work</v>
      </c>
      <c r="Y381" t="str">
        <f t="shared" si="68"/>
        <v>Others</v>
      </c>
      <c r="Z381" t="s">
        <v>41</v>
      </c>
      <c r="AA381">
        <v>31</v>
      </c>
      <c r="AB381" t="s">
        <v>42</v>
      </c>
      <c r="AC381" t="str">
        <f t="shared" si="69"/>
        <v>United States</v>
      </c>
      <c r="AD381" t="str">
        <f t="shared" si="70"/>
        <v>United States</v>
      </c>
      <c r="AE381" t="s">
        <v>328</v>
      </c>
      <c r="AF381" t="s">
        <v>43</v>
      </c>
      <c r="AG381" t="str">
        <f t="shared" si="60"/>
        <v>White or Caucasian</v>
      </c>
      <c r="AH381" t="str">
        <f t="shared" si="71"/>
        <v>White or Caucasian</v>
      </c>
    </row>
    <row r="382" spans="1:34" x14ac:dyDescent="0.25">
      <c r="A382" t="s">
        <v>1190</v>
      </c>
      <c r="B382" t="s">
        <v>1103</v>
      </c>
      <c r="C382" t="s">
        <v>1191</v>
      </c>
      <c r="D382" t="s">
        <v>805</v>
      </c>
      <c r="E382" t="s">
        <v>127</v>
      </c>
      <c r="F382" t="str">
        <f t="shared" si="61"/>
        <v>Student/Looking/None</v>
      </c>
      <c r="G382" t="str">
        <f t="shared" si="62"/>
        <v>Student/Looking/None</v>
      </c>
      <c r="H382" t="s">
        <v>47</v>
      </c>
      <c r="I382" t="s">
        <v>57</v>
      </c>
      <c r="J382" t="s">
        <v>1192</v>
      </c>
      <c r="K382" t="str">
        <f t="shared" si="63"/>
        <v>I am student.</v>
      </c>
      <c r="L382" t="str">
        <f t="shared" si="64"/>
        <v>Others</v>
      </c>
      <c r="M382" t="s">
        <v>50</v>
      </c>
      <c r="N382" t="str">
        <f t="shared" si="65"/>
        <v>R</v>
      </c>
      <c r="O382" t="str">
        <f t="shared" si="66"/>
        <v>R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tr">
        <f t="shared" si="67"/>
        <v>Good Work/Life Balance</v>
      </c>
      <c r="Y382" t="str">
        <f t="shared" si="68"/>
        <v>Good Work/Life Balance</v>
      </c>
      <c r="Z382" t="s">
        <v>41</v>
      </c>
      <c r="AA382">
        <v>24</v>
      </c>
      <c r="AB382" t="s">
        <v>113</v>
      </c>
      <c r="AC382" t="str">
        <f t="shared" si="69"/>
        <v>United Kingdom</v>
      </c>
      <c r="AD382" t="str">
        <f t="shared" si="70"/>
        <v>United Kingdom</v>
      </c>
      <c r="AE382" t="s">
        <v>244</v>
      </c>
      <c r="AF382" t="s">
        <v>52</v>
      </c>
      <c r="AG382" t="str">
        <f t="shared" si="60"/>
        <v>Asian or Asian American</v>
      </c>
      <c r="AH382" t="str">
        <f t="shared" si="71"/>
        <v>Asian or Asian American</v>
      </c>
    </row>
    <row r="383" spans="1:34" x14ac:dyDescent="0.25">
      <c r="A383" t="s">
        <v>1193</v>
      </c>
      <c r="B383" t="s">
        <v>1103</v>
      </c>
      <c r="C383" t="s">
        <v>1194</v>
      </c>
      <c r="D383" t="s">
        <v>1195</v>
      </c>
      <c r="E383" t="s">
        <v>34</v>
      </c>
      <c r="F383" t="str">
        <f t="shared" si="61"/>
        <v>Data Analyst</v>
      </c>
      <c r="G383" t="str">
        <f t="shared" si="62"/>
        <v>Data Analyst</v>
      </c>
      <c r="H383" t="s">
        <v>47</v>
      </c>
      <c r="I383" t="s">
        <v>57</v>
      </c>
      <c r="J383" t="s">
        <v>49</v>
      </c>
      <c r="K383" t="str">
        <f t="shared" si="63"/>
        <v>Finance</v>
      </c>
      <c r="L383" t="str">
        <f t="shared" si="64"/>
        <v>Finance</v>
      </c>
      <c r="M383" t="s">
        <v>1196</v>
      </c>
      <c r="N383" t="str">
        <f t="shared" si="65"/>
        <v>MATLAB</v>
      </c>
      <c r="O383" t="str">
        <f t="shared" si="66"/>
        <v>Others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tr">
        <f t="shared" si="67"/>
        <v>Better Salary</v>
      </c>
      <c r="Y383" t="str">
        <f t="shared" si="68"/>
        <v>Better Salary</v>
      </c>
      <c r="Z383" t="s">
        <v>69</v>
      </c>
      <c r="AA383">
        <v>20</v>
      </c>
      <c r="AB383" t="s">
        <v>42</v>
      </c>
      <c r="AC383" t="str">
        <f t="shared" si="69"/>
        <v>United States</v>
      </c>
      <c r="AD383" t="str">
        <f t="shared" si="70"/>
        <v>United States</v>
      </c>
      <c r="AE383" t="s">
        <v>241</v>
      </c>
      <c r="AF383" t="s">
        <v>62</v>
      </c>
      <c r="AG383" t="str">
        <f t="shared" si="60"/>
        <v>Black or African American</v>
      </c>
      <c r="AH383" t="str">
        <f t="shared" si="71"/>
        <v>Black or African American</v>
      </c>
    </row>
    <row r="384" spans="1:34" x14ac:dyDescent="0.25">
      <c r="A384" t="s">
        <v>1197</v>
      </c>
      <c r="B384" t="s">
        <v>1103</v>
      </c>
      <c r="C384" t="s">
        <v>1198</v>
      </c>
      <c r="D384" t="s">
        <v>1199</v>
      </c>
      <c r="E384" t="s">
        <v>1200</v>
      </c>
      <c r="F384" t="str">
        <f t="shared" si="61"/>
        <v>Web Developer</v>
      </c>
      <c r="G384" t="str">
        <f t="shared" si="62"/>
        <v>Others</v>
      </c>
      <c r="H384" t="s">
        <v>47</v>
      </c>
      <c r="I384" t="s">
        <v>57</v>
      </c>
      <c r="J384" t="s">
        <v>107</v>
      </c>
      <c r="K384" t="str">
        <f t="shared" si="63"/>
        <v>Tech</v>
      </c>
      <c r="L384" t="str">
        <f t="shared" si="64"/>
        <v>Tech</v>
      </c>
      <c r="M384" t="s">
        <v>50</v>
      </c>
      <c r="N384" t="str">
        <f t="shared" si="65"/>
        <v>R</v>
      </c>
      <c r="O384" t="str">
        <f t="shared" si="66"/>
        <v>R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tr">
        <f t="shared" si="67"/>
        <v>Good Work/Life Balance</v>
      </c>
      <c r="Y384" t="str">
        <f t="shared" si="68"/>
        <v>Good Work/Life Balance</v>
      </c>
      <c r="Z384" t="s">
        <v>41</v>
      </c>
      <c r="AA384">
        <v>24</v>
      </c>
      <c r="AB384" t="s">
        <v>151</v>
      </c>
      <c r="AC384" t="str">
        <f t="shared" si="69"/>
        <v>India</v>
      </c>
      <c r="AD384" t="str">
        <f t="shared" si="70"/>
        <v>India</v>
      </c>
      <c r="AE384" t="s">
        <v>241</v>
      </c>
      <c r="AF384" t="s">
        <v>52</v>
      </c>
      <c r="AG384" t="str">
        <f t="shared" si="60"/>
        <v>Asian or Asian American</v>
      </c>
      <c r="AH384" t="str">
        <f t="shared" si="71"/>
        <v>Asian or Asian American</v>
      </c>
    </row>
    <row r="385" spans="1:34" x14ac:dyDescent="0.25">
      <c r="A385" t="s">
        <v>1201</v>
      </c>
      <c r="B385" t="s">
        <v>1103</v>
      </c>
      <c r="C385" t="s">
        <v>1202</v>
      </c>
      <c r="D385" t="s">
        <v>321</v>
      </c>
      <c r="E385" t="s">
        <v>127</v>
      </c>
      <c r="F385" t="str">
        <f t="shared" si="61"/>
        <v>Student/Looking/None</v>
      </c>
      <c r="G385" t="str">
        <f t="shared" si="62"/>
        <v>Student/Looking/None</v>
      </c>
      <c r="H385" t="s">
        <v>35</v>
      </c>
      <c r="I385" t="s">
        <v>57</v>
      </c>
      <c r="J385" t="s">
        <v>495</v>
      </c>
      <c r="K385" t="str">
        <f t="shared" si="63"/>
        <v>Manufacturing</v>
      </c>
      <c r="L385" t="str">
        <f t="shared" si="64"/>
        <v>Others</v>
      </c>
      <c r="M385" t="s">
        <v>50</v>
      </c>
      <c r="N385" t="str">
        <f t="shared" si="65"/>
        <v>R</v>
      </c>
      <c r="O385" t="str">
        <f t="shared" si="66"/>
        <v>R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tr">
        <f t="shared" si="67"/>
        <v>Good Work/Life Balance</v>
      </c>
      <c r="Y385" t="str">
        <f t="shared" si="68"/>
        <v>Good Work/Life Balance</v>
      </c>
      <c r="Z385" t="s">
        <v>41</v>
      </c>
      <c r="AA385">
        <v>24</v>
      </c>
      <c r="AB385" t="s">
        <v>713</v>
      </c>
      <c r="AC385" t="str">
        <f t="shared" si="69"/>
        <v>Romania</v>
      </c>
      <c r="AD385" t="str">
        <f t="shared" si="70"/>
        <v>Others</v>
      </c>
      <c r="AE385" t="s">
        <v>241</v>
      </c>
      <c r="AF385" t="s">
        <v>43</v>
      </c>
      <c r="AG385" t="str">
        <f t="shared" si="60"/>
        <v>White or Caucasian</v>
      </c>
      <c r="AH385" t="str">
        <f t="shared" si="71"/>
        <v>White or Caucasian</v>
      </c>
    </row>
    <row r="386" spans="1:34" x14ac:dyDescent="0.25">
      <c r="A386" t="s">
        <v>1203</v>
      </c>
      <c r="B386" t="s">
        <v>1103</v>
      </c>
      <c r="C386" t="s">
        <v>1204</v>
      </c>
      <c r="D386" t="s">
        <v>46</v>
      </c>
      <c r="E386" t="s">
        <v>127</v>
      </c>
      <c r="F386" t="str">
        <f t="shared" si="61"/>
        <v>Student/Looking/None</v>
      </c>
      <c r="G386" t="str">
        <f t="shared" si="62"/>
        <v>Student/Looking/None</v>
      </c>
      <c r="H386" t="s">
        <v>47</v>
      </c>
      <c r="I386" t="s">
        <v>57</v>
      </c>
      <c r="J386" t="s">
        <v>1205</v>
      </c>
      <c r="K386" t="str">
        <f t="shared" si="63"/>
        <v>Unemployed, trying to switch career</v>
      </c>
      <c r="L386" t="str">
        <f t="shared" si="64"/>
        <v>Others</v>
      </c>
      <c r="M386" t="s">
        <v>50</v>
      </c>
      <c r="N386" t="str">
        <f t="shared" si="65"/>
        <v>R</v>
      </c>
      <c r="O386" t="str">
        <f t="shared" si="66"/>
        <v>R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tr">
        <f t="shared" si="67"/>
        <v>Good Work/Life Balance</v>
      </c>
      <c r="Y386" t="str">
        <f t="shared" si="68"/>
        <v>Good Work/Life Balance</v>
      </c>
      <c r="Z386" t="s">
        <v>41</v>
      </c>
      <c r="AA386">
        <v>41</v>
      </c>
      <c r="AB386" t="s">
        <v>211</v>
      </c>
      <c r="AC386" t="str">
        <f t="shared" si="69"/>
        <v>Spain</v>
      </c>
      <c r="AD386" t="str">
        <f t="shared" si="70"/>
        <v>Spain</v>
      </c>
      <c r="AE386" t="s">
        <v>241</v>
      </c>
      <c r="AF386" t="s">
        <v>95</v>
      </c>
      <c r="AG386" t="str">
        <f t="shared" ref="AG386:AG449" si="72">IF(ISNUMBER(SEARCH("other",AF386)),IF(TRIM(MID(AF386, FIND(")",AF386)+1, LEN(AF386)))="", "Other", TRIM(MID(AF386, FIND(":",AF386)+1, LEN(AF386)))),AF386)</f>
        <v>Hispanic or Latino</v>
      </c>
      <c r="AH386" t="str">
        <f t="shared" si="71"/>
        <v>Hispanic or Latino</v>
      </c>
    </row>
    <row r="387" spans="1:34" x14ac:dyDescent="0.25">
      <c r="A387" t="s">
        <v>1206</v>
      </c>
      <c r="B387" t="s">
        <v>1103</v>
      </c>
      <c r="C387" t="s">
        <v>1207</v>
      </c>
      <c r="D387" t="s">
        <v>1084</v>
      </c>
      <c r="E387" t="s">
        <v>34</v>
      </c>
      <c r="F387" t="str">
        <f t="shared" ref="F387:F450" si="73">IF(ISNUMBER(SEARCH("other",E387)),IF(TRIM(MID(E387, FIND(")",E387)+1, LEN(E387)))="", "Other", TRIM(MID(E387, FIND(":",E387)+1, LEN(E387)))),E387)</f>
        <v>Data Analyst</v>
      </c>
      <c r="G387" t="str">
        <f t="shared" ref="G387:G450" si="74">IF(COUNTIF(F:F,F387)&lt;5,"Others",F387)</f>
        <v>Data Analyst</v>
      </c>
      <c r="H387" t="s">
        <v>35</v>
      </c>
      <c r="I387" t="s">
        <v>91</v>
      </c>
      <c r="J387" t="s">
        <v>107</v>
      </c>
      <c r="K387" t="str">
        <f t="shared" ref="K387:K450" si="75">IF(ISNUMBER(SEARCH("other",J387)),IF(TRIM(MID(J387, FIND(")",J387)+1, LEN(J387)))="", "Other", TRIM(MID(J387, FIND(":",J387)+1, LEN(J387)))),J387)</f>
        <v>Tech</v>
      </c>
      <c r="L387" t="str">
        <f t="shared" ref="L387:L450" si="76">IF(COUNTIF(K:K,K387)&lt;10,"Others",K387)</f>
        <v>Tech</v>
      </c>
      <c r="M387" t="s">
        <v>50</v>
      </c>
      <c r="N387" t="str">
        <f t="shared" ref="N387:N450" si="77">IF(ISNUMBER(SEARCH("other",M387)),IF(TRIM(MID(M387, FIND("Other",M387)+1, LEN(M387)))="", "Other", TRIM(MID(M387, FIND(":",M387)+1, LEN(M387)))),M387)</f>
        <v>R</v>
      </c>
      <c r="O387" t="str">
        <f t="shared" ref="O387:O450" si="78">IF(COUNTIF(N:N,N387)&lt;5,"Others",N387)</f>
        <v>R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tr">
        <f t="shared" ref="X387:X450" si="79">IF(ISNUMBER(SEARCH("other",W387)),IF(TRIM(MID(W387, FIND(")",W387)+1, LEN(W387)))="", "Other", TRIM(MID(W387, FIND(":",W387)+1, LEN(W387)))),W387)</f>
        <v>Better Salary</v>
      </c>
      <c r="Y387" t="str">
        <f t="shared" ref="Y387:Y450" si="80">IF(COUNTIF(X:X,X387)&lt;5,"Others",X387)</f>
        <v>Better Salary</v>
      </c>
      <c r="Z387" t="s">
        <v>41</v>
      </c>
      <c r="AA387">
        <v>41</v>
      </c>
      <c r="AB387" t="s">
        <v>42</v>
      </c>
      <c r="AC387" t="str">
        <f t="shared" ref="AC387:AC450" si="81">IF(ISNUMBER(SEARCH("other",AB387)),IF(TRIM(MID(AB387, FIND(")",AB387)+1, LEN(AB387)))="", "Other", TRIM(MID(AB387, FIND(":",AB387)+1, LEN(AB387)))),AB387)</f>
        <v>United States</v>
      </c>
      <c r="AD387" t="str">
        <f t="shared" ref="AD387:AD450" si="82">IF(COUNTIF(AC:AC,AC387)&lt;5,"Others",AC387)</f>
        <v>United States</v>
      </c>
      <c r="AE387" t="s">
        <v>241</v>
      </c>
      <c r="AF387" t="s">
        <v>43</v>
      </c>
      <c r="AG387" t="str">
        <f t="shared" si="72"/>
        <v>White or Caucasian</v>
      </c>
      <c r="AH387" t="str">
        <f t="shared" ref="AH387:AH450" si="83">IF(COUNTIF(AG:AG,AG387)&lt;5,"Others",AG387)</f>
        <v>White or Caucasian</v>
      </c>
    </row>
    <row r="388" spans="1:34" x14ac:dyDescent="0.25">
      <c r="A388" t="s">
        <v>1208</v>
      </c>
      <c r="B388" t="s">
        <v>1103</v>
      </c>
      <c r="C388" t="s">
        <v>1209</v>
      </c>
      <c r="D388" t="s">
        <v>200</v>
      </c>
      <c r="E388" t="s">
        <v>1210</v>
      </c>
      <c r="F388" t="str">
        <f t="shared" si="73"/>
        <v>Manager</v>
      </c>
      <c r="G388" t="str">
        <f t="shared" si="74"/>
        <v>Others</v>
      </c>
      <c r="H388" t="s">
        <v>47</v>
      </c>
      <c r="I388" t="s">
        <v>67</v>
      </c>
      <c r="J388" t="s">
        <v>87</v>
      </c>
      <c r="K388" t="str">
        <f t="shared" si="75"/>
        <v>Retail</v>
      </c>
      <c r="L388" t="str">
        <f t="shared" si="76"/>
        <v>Retail</v>
      </c>
      <c r="M388" t="s">
        <v>38</v>
      </c>
      <c r="N388" t="str">
        <f t="shared" si="77"/>
        <v>Python</v>
      </c>
      <c r="O388" t="str">
        <f t="shared" si="78"/>
        <v>Python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tr">
        <f t="shared" si="79"/>
        <v>Good Culture</v>
      </c>
      <c r="Y388" t="str">
        <f t="shared" si="80"/>
        <v>Good Culture</v>
      </c>
      <c r="Z388" t="s">
        <v>41</v>
      </c>
      <c r="AA388">
        <v>43</v>
      </c>
      <c r="AB388" t="s">
        <v>42</v>
      </c>
      <c r="AC388" t="str">
        <f t="shared" si="81"/>
        <v>United States</v>
      </c>
      <c r="AD388" t="str">
        <f t="shared" si="82"/>
        <v>United States</v>
      </c>
      <c r="AE388" t="s">
        <v>241</v>
      </c>
      <c r="AF388" t="s">
        <v>43</v>
      </c>
      <c r="AG388" t="str">
        <f t="shared" si="72"/>
        <v>White or Caucasian</v>
      </c>
      <c r="AH388" t="str">
        <f t="shared" si="83"/>
        <v>White or Caucasian</v>
      </c>
    </row>
    <row r="389" spans="1:34" x14ac:dyDescent="0.25">
      <c r="A389" t="s">
        <v>1211</v>
      </c>
      <c r="B389" t="s">
        <v>1103</v>
      </c>
      <c r="C389" t="s">
        <v>1212</v>
      </c>
      <c r="D389" t="s">
        <v>1213</v>
      </c>
      <c r="E389" t="s">
        <v>34</v>
      </c>
      <c r="F389" t="str">
        <f t="shared" si="73"/>
        <v>Data Analyst</v>
      </c>
      <c r="G389" t="str">
        <f t="shared" si="74"/>
        <v>Data Analyst</v>
      </c>
      <c r="H389" t="s">
        <v>47</v>
      </c>
      <c r="I389" t="s">
        <v>98</v>
      </c>
      <c r="J389" t="s">
        <v>37</v>
      </c>
      <c r="K389" t="str">
        <f t="shared" si="75"/>
        <v>Healthcare</v>
      </c>
      <c r="L389" t="str">
        <f t="shared" si="76"/>
        <v>Healthcare</v>
      </c>
      <c r="M389" t="s">
        <v>38</v>
      </c>
      <c r="N389" t="str">
        <f t="shared" si="77"/>
        <v>Python</v>
      </c>
      <c r="O389" t="str">
        <f t="shared" si="78"/>
        <v>Python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tr">
        <f t="shared" si="79"/>
        <v>Remote Work</v>
      </c>
      <c r="Y389" t="str">
        <f t="shared" si="80"/>
        <v>Remote Work</v>
      </c>
      <c r="Z389" t="s">
        <v>69</v>
      </c>
      <c r="AA389">
        <v>38</v>
      </c>
      <c r="AB389" t="s">
        <v>42</v>
      </c>
      <c r="AC389" t="str">
        <f t="shared" si="81"/>
        <v>United States</v>
      </c>
      <c r="AD389" t="str">
        <f t="shared" si="82"/>
        <v>United States</v>
      </c>
      <c r="AE389" t="s">
        <v>241</v>
      </c>
      <c r="AF389" t="s">
        <v>43</v>
      </c>
      <c r="AG389" t="str">
        <f t="shared" si="72"/>
        <v>White or Caucasian</v>
      </c>
      <c r="AH389" t="str">
        <f t="shared" si="83"/>
        <v>White or Caucasian</v>
      </c>
    </row>
    <row r="390" spans="1:34" x14ac:dyDescent="0.25">
      <c r="A390" t="s">
        <v>1214</v>
      </c>
      <c r="B390" t="s">
        <v>1103</v>
      </c>
      <c r="C390" t="s">
        <v>1215</v>
      </c>
      <c r="D390" t="s">
        <v>1213</v>
      </c>
      <c r="E390" t="s">
        <v>34</v>
      </c>
      <c r="F390" t="str">
        <f t="shared" si="73"/>
        <v>Data Analyst</v>
      </c>
      <c r="G390" t="str">
        <f t="shared" si="74"/>
        <v>Data Analyst</v>
      </c>
      <c r="H390" t="s">
        <v>35</v>
      </c>
      <c r="I390" t="s">
        <v>57</v>
      </c>
      <c r="J390" t="s">
        <v>87</v>
      </c>
      <c r="K390" t="str">
        <f t="shared" si="75"/>
        <v>Retail</v>
      </c>
      <c r="L390" t="str">
        <f t="shared" si="76"/>
        <v>Retail</v>
      </c>
      <c r="M390" t="s">
        <v>38</v>
      </c>
      <c r="N390" t="str">
        <f t="shared" si="77"/>
        <v>Python</v>
      </c>
      <c r="O390" t="str">
        <f t="shared" si="78"/>
        <v>Python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tr">
        <f t="shared" si="79"/>
        <v>Better Salary</v>
      </c>
      <c r="Y390" t="str">
        <f t="shared" si="80"/>
        <v>Better Salary</v>
      </c>
      <c r="Z390" t="s">
        <v>69</v>
      </c>
      <c r="AA390">
        <v>28</v>
      </c>
      <c r="AB390" t="s">
        <v>743</v>
      </c>
      <c r="AC390" t="str">
        <f t="shared" si="81"/>
        <v>Philippines</v>
      </c>
      <c r="AD390" t="str">
        <f t="shared" si="82"/>
        <v>Others</v>
      </c>
      <c r="AE390" t="s">
        <v>241</v>
      </c>
      <c r="AF390" t="s">
        <v>52</v>
      </c>
      <c r="AG390" t="str">
        <f t="shared" si="72"/>
        <v>Asian or Asian American</v>
      </c>
      <c r="AH390" t="str">
        <f t="shared" si="83"/>
        <v>Asian or Asian American</v>
      </c>
    </row>
    <row r="391" spans="1:34" x14ac:dyDescent="0.25">
      <c r="A391" t="s">
        <v>1216</v>
      </c>
      <c r="B391" t="s">
        <v>1103</v>
      </c>
      <c r="C391" t="s">
        <v>1217</v>
      </c>
      <c r="D391" t="s">
        <v>46</v>
      </c>
      <c r="E391" t="s">
        <v>34</v>
      </c>
      <c r="F391" t="str">
        <f t="shared" si="73"/>
        <v>Data Analyst</v>
      </c>
      <c r="G391" t="str">
        <f t="shared" si="74"/>
        <v>Data Analyst</v>
      </c>
      <c r="H391" t="s">
        <v>35</v>
      </c>
      <c r="I391" t="s">
        <v>91</v>
      </c>
      <c r="J391" t="s">
        <v>37</v>
      </c>
      <c r="K391" t="str">
        <f t="shared" si="75"/>
        <v>Healthcare</v>
      </c>
      <c r="L391" t="str">
        <f t="shared" si="76"/>
        <v>Healthcare</v>
      </c>
      <c r="M391" t="s">
        <v>38</v>
      </c>
      <c r="N391" t="str">
        <f t="shared" si="77"/>
        <v>Python</v>
      </c>
      <c r="O391" t="str">
        <f t="shared" si="78"/>
        <v>Python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tr">
        <f t="shared" si="79"/>
        <v>Good Culture</v>
      </c>
      <c r="Y391" t="str">
        <f t="shared" si="80"/>
        <v>Good Culture</v>
      </c>
      <c r="Z391" t="s">
        <v>69</v>
      </c>
      <c r="AA391">
        <v>31</v>
      </c>
      <c r="AB391" t="s">
        <v>271</v>
      </c>
      <c r="AC391" t="str">
        <f t="shared" si="81"/>
        <v>Germany</v>
      </c>
      <c r="AD391" t="str">
        <f t="shared" si="82"/>
        <v>Germany</v>
      </c>
      <c r="AE391" t="s">
        <v>241</v>
      </c>
      <c r="AF391" t="s">
        <v>95</v>
      </c>
      <c r="AG391" t="str">
        <f t="shared" si="72"/>
        <v>Hispanic or Latino</v>
      </c>
      <c r="AH391" t="str">
        <f t="shared" si="83"/>
        <v>Hispanic or Latino</v>
      </c>
    </row>
    <row r="392" spans="1:34" x14ac:dyDescent="0.25">
      <c r="A392" t="s">
        <v>1218</v>
      </c>
      <c r="B392" t="s">
        <v>1103</v>
      </c>
      <c r="C392" t="s">
        <v>1219</v>
      </c>
      <c r="D392" t="s">
        <v>619</v>
      </c>
      <c r="E392" t="s">
        <v>34</v>
      </c>
      <c r="F392" t="str">
        <f t="shared" si="73"/>
        <v>Data Analyst</v>
      </c>
      <c r="G392" t="str">
        <f t="shared" si="74"/>
        <v>Data Analyst</v>
      </c>
      <c r="H392" t="s">
        <v>35</v>
      </c>
      <c r="I392" t="s">
        <v>91</v>
      </c>
      <c r="J392" t="s">
        <v>490</v>
      </c>
      <c r="K392" t="str">
        <f t="shared" si="75"/>
        <v>Government</v>
      </c>
      <c r="L392" t="str">
        <f t="shared" si="76"/>
        <v>Others</v>
      </c>
      <c r="M392" t="s">
        <v>887</v>
      </c>
      <c r="N392" t="str">
        <f t="shared" si="77"/>
        <v>SAS</v>
      </c>
      <c r="O392" t="str">
        <f t="shared" si="78"/>
        <v>Others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tr">
        <f t="shared" si="79"/>
        <v>Good Work/Life Balance</v>
      </c>
      <c r="Y392" t="str">
        <f t="shared" si="80"/>
        <v>Good Work/Life Balance</v>
      </c>
      <c r="Z392" t="s">
        <v>69</v>
      </c>
      <c r="AA392">
        <v>28</v>
      </c>
      <c r="AB392" t="s">
        <v>42</v>
      </c>
      <c r="AC392" t="str">
        <f t="shared" si="81"/>
        <v>United States</v>
      </c>
      <c r="AD392" t="str">
        <f t="shared" si="82"/>
        <v>United States</v>
      </c>
      <c r="AE392" t="s">
        <v>244</v>
      </c>
      <c r="AF392" t="s">
        <v>43</v>
      </c>
      <c r="AG392" t="str">
        <f t="shared" si="72"/>
        <v>White or Caucasian</v>
      </c>
      <c r="AH392" t="str">
        <f t="shared" si="83"/>
        <v>White or Caucasian</v>
      </c>
    </row>
    <row r="393" spans="1:34" x14ac:dyDescent="0.25">
      <c r="A393" t="s">
        <v>1220</v>
      </c>
      <c r="B393" t="s">
        <v>1103</v>
      </c>
      <c r="C393" t="s">
        <v>31</v>
      </c>
      <c r="D393" t="s">
        <v>111</v>
      </c>
      <c r="E393" t="s">
        <v>34</v>
      </c>
      <c r="F393" t="str">
        <f t="shared" si="73"/>
        <v>Data Analyst</v>
      </c>
      <c r="G393" t="str">
        <f t="shared" si="74"/>
        <v>Data Analyst</v>
      </c>
      <c r="H393" t="s">
        <v>47</v>
      </c>
      <c r="I393" t="s">
        <v>48</v>
      </c>
      <c r="J393" t="s">
        <v>37</v>
      </c>
      <c r="K393" t="str">
        <f t="shared" si="75"/>
        <v>Healthcare</v>
      </c>
      <c r="L393" t="str">
        <f t="shared" si="76"/>
        <v>Healthcare</v>
      </c>
      <c r="M393" t="s">
        <v>261</v>
      </c>
      <c r="N393" t="str">
        <f t="shared" si="77"/>
        <v>C/C++</v>
      </c>
      <c r="O393" t="str">
        <f t="shared" si="78"/>
        <v>C/C++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tr">
        <f t="shared" si="79"/>
        <v>Remote Work</v>
      </c>
      <c r="Y393" t="str">
        <f t="shared" si="80"/>
        <v>Remote Work</v>
      </c>
      <c r="Z393" t="s">
        <v>41</v>
      </c>
      <c r="AA393">
        <v>23</v>
      </c>
      <c r="AB393" t="s">
        <v>42</v>
      </c>
      <c r="AC393" t="str">
        <f t="shared" si="81"/>
        <v>United States</v>
      </c>
      <c r="AD393" t="str">
        <f t="shared" si="82"/>
        <v>United States</v>
      </c>
      <c r="AE393" t="s">
        <v>244</v>
      </c>
      <c r="AF393" t="s">
        <v>52</v>
      </c>
      <c r="AG393" t="str">
        <f t="shared" si="72"/>
        <v>Asian or Asian American</v>
      </c>
      <c r="AH393" t="str">
        <f t="shared" si="83"/>
        <v>Asian or Asian American</v>
      </c>
    </row>
    <row r="394" spans="1:34" x14ac:dyDescent="0.25">
      <c r="A394" t="s">
        <v>1221</v>
      </c>
      <c r="B394" t="s">
        <v>1103</v>
      </c>
      <c r="C394" t="s">
        <v>45</v>
      </c>
      <c r="D394" t="s">
        <v>145</v>
      </c>
      <c r="E394" t="s">
        <v>34</v>
      </c>
      <c r="F394" t="str">
        <f t="shared" si="73"/>
        <v>Data Analyst</v>
      </c>
      <c r="G394" t="str">
        <f t="shared" si="74"/>
        <v>Data Analyst</v>
      </c>
      <c r="H394" t="s">
        <v>47</v>
      </c>
      <c r="I394" t="s">
        <v>48</v>
      </c>
      <c r="J394" t="s">
        <v>1222</v>
      </c>
      <c r="K394" t="str">
        <f t="shared" si="75"/>
        <v>Utilities</v>
      </c>
      <c r="L394" t="str">
        <f t="shared" si="76"/>
        <v>Others</v>
      </c>
      <c r="M394" t="s">
        <v>38</v>
      </c>
      <c r="N394" t="str">
        <f t="shared" si="77"/>
        <v>Python</v>
      </c>
      <c r="O394" t="str">
        <f t="shared" si="78"/>
        <v>Python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tr">
        <f t="shared" si="79"/>
        <v>Better Salary</v>
      </c>
      <c r="Y394" t="str">
        <f t="shared" si="80"/>
        <v>Better Salary</v>
      </c>
      <c r="Z394" t="s">
        <v>41</v>
      </c>
      <c r="AA394">
        <v>25</v>
      </c>
      <c r="AB394" t="s">
        <v>113</v>
      </c>
      <c r="AC394" t="str">
        <f t="shared" si="81"/>
        <v>United Kingdom</v>
      </c>
      <c r="AD394" t="str">
        <f t="shared" si="82"/>
        <v>United Kingdom</v>
      </c>
      <c r="AE394" t="s">
        <v>241</v>
      </c>
      <c r="AF394" t="s">
        <v>62</v>
      </c>
      <c r="AG394" t="str">
        <f t="shared" si="72"/>
        <v>Black or African American</v>
      </c>
      <c r="AH394" t="str">
        <f t="shared" si="83"/>
        <v>Black or African American</v>
      </c>
    </row>
    <row r="395" spans="1:34" x14ac:dyDescent="0.25">
      <c r="A395" t="s">
        <v>1223</v>
      </c>
      <c r="B395" t="s">
        <v>1103</v>
      </c>
      <c r="C395" t="s">
        <v>45</v>
      </c>
      <c r="D395" t="s">
        <v>348</v>
      </c>
      <c r="E395" t="s">
        <v>1224</v>
      </c>
      <c r="F395" t="str">
        <f t="shared" si="73"/>
        <v>Junior Software Engineer</v>
      </c>
      <c r="G395" t="str">
        <f t="shared" si="74"/>
        <v>Others</v>
      </c>
      <c r="H395" t="s">
        <v>47</v>
      </c>
      <c r="I395" t="s">
        <v>57</v>
      </c>
      <c r="J395" t="s">
        <v>107</v>
      </c>
      <c r="K395" t="str">
        <f t="shared" si="75"/>
        <v>Tech</v>
      </c>
      <c r="L395" t="str">
        <f t="shared" si="76"/>
        <v>Tech</v>
      </c>
      <c r="M395" t="s">
        <v>50</v>
      </c>
      <c r="N395" t="str">
        <f t="shared" si="77"/>
        <v>R</v>
      </c>
      <c r="O395" t="str">
        <f t="shared" si="78"/>
        <v>R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tr">
        <f t="shared" si="79"/>
        <v>Remote Work</v>
      </c>
      <c r="Y395" t="str">
        <f t="shared" si="80"/>
        <v>Remote Work</v>
      </c>
      <c r="Z395" t="s">
        <v>41</v>
      </c>
      <c r="AA395">
        <v>26</v>
      </c>
      <c r="AB395" t="s">
        <v>504</v>
      </c>
      <c r="AC395" t="str">
        <f t="shared" si="81"/>
        <v>Poland</v>
      </c>
      <c r="AD395" t="str">
        <f t="shared" si="82"/>
        <v>Poland</v>
      </c>
      <c r="AE395" t="s">
        <v>244</v>
      </c>
      <c r="AF395" t="s">
        <v>43</v>
      </c>
      <c r="AG395" t="str">
        <f t="shared" si="72"/>
        <v>White or Caucasian</v>
      </c>
      <c r="AH395" t="str">
        <f t="shared" si="83"/>
        <v>White or Caucasian</v>
      </c>
    </row>
    <row r="396" spans="1:34" x14ac:dyDescent="0.25">
      <c r="A396" t="s">
        <v>1225</v>
      </c>
      <c r="B396" t="s">
        <v>1103</v>
      </c>
      <c r="C396" t="s">
        <v>54</v>
      </c>
      <c r="D396" t="s">
        <v>120</v>
      </c>
      <c r="E396" t="s">
        <v>81</v>
      </c>
      <c r="F396" t="str">
        <f t="shared" si="73"/>
        <v>Data Scientist</v>
      </c>
      <c r="G396" t="str">
        <f t="shared" si="74"/>
        <v>Data Scientist</v>
      </c>
      <c r="H396" t="s">
        <v>35</v>
      </c>
      <c r="I396" t="s">
        <v>86</v>
      </c>
      <c r="J396" t="s">
        <v>49</v>
      </c>
      <c r="K396" t="str">
        <f t="shared" si="75"/>
        <v>Finance</v>
      </c>
      <c r="L396" t="str">
        <f t="shared" si="76"/>
        <v>Finance</v>
      </c>
      <c r="M396" t="s">
        <v>38</v>
      </c>
      <c r="N396" t="str">
        <f t="shared" si="77"/>
        <v>Python</v>
      </c>
      <c r="O396" t="str">
        <f t="shared" si="78"/>
        <v>Python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tr">
        <f t="shared" si="79"/>
        <v>Good Work/Life Balance</v>
      </c>
      <c r="Y396" t="str">
        <f t="shared" si="80"/>
        <v>Good Work/Life Balance</v>
      </c>
      <c r="Z396" t="s">
        <v>41</v>
      </c>
      <c r="AA396">
        <v>35</v>
      </c>
      <c r="AB396" t="s">
        <v>42</v>
      </c>
      <c r="AC396" t="str">
        <f t="shared" si="81"/>
        <v>United States</v>
      </c>
      <c r="AD396" t="str">
        <f t="shared" si="82"/>
        <v>United States</v>
      </c>
      <c r="AE396" t="s">
        <v>241</v>
      </c>
      <c r="AF396" t="s">
        <v>43</v>
      </c>
      <c r="AG396" t="str">
        <f t="shared" si="72"/>
        <v>White or Caucasian</v>
      </c>
      <c r="AH396" t="str">
        <f t="shared" si="83"/>
        <v>White or Caucasian</v>
      </c>
    </row>
    <row r="397" spans="1:34" x14ac:dyDescent="0.25">
      <c r="A397" t="s">
        <v>1226</v>
      </c>
      <c r="B397" t="s">
        <v>1103</v>
      </c>
      <c r="C397" t="s">
        <v>153</v>
      </c>
      <c r="D397" t="s">
        <v>826</v>
      </c>
      <c r="E397" t="s">
        <v>34</v>
      </c>
      <c r="F397" t="str">
        <f t="shared" si="73"/>
        <v>Data Analyst</v>
      </c>
      <c r="G397" t="str">
        <f t="shared" si="74"/>
        <v>Data Analyst</v>
      </c>
      <c r="H397" t="s">
        <v>35</v>
      </c>
      <c r="I397" t="s">
        <v>36</v>
      </c>
      <c r="J397" t="s">
        <v>87</v>
      </c>
      <c r="K397" t="str">
        <f t="shared" si="75"/>
        <v>Retail</v>
      </c>
      <c r="L397" t="str">
        <f t="shared" si="76"/>
        <v>Retail</v>
      </c>
      <c r="M397" t="s">
        <v>50</v>
      </c>
      <c r="N397" t="str">
        <f t="shared" si="77"/>
        <v>R</v>
      </c>
      <c r="O397" t="str">
        <f t="shared" si="78"/>
        <v>R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tr">
        <f t="shared" si="79"/>
        <v>Remote Work</v>
      </c>
      <c r="Y397" t="str">
        <f t="shared" si="80"/>
        <v>Remote Work</v>
      </c>
      <c r="Z397" t="s">
        <v>41</v>
      </c>
      <c r="AA397">
        <v>30</v>
      </c>
      <c r="AB397" t="s">
        <v>341</v>
      </c>
      <c r="AC397" t="str">
        <f t="shared" si="81"/>
        <v>Denmark</v>
      </c>
      <c r="AD397" t="str">
        <f t="shared" si="82"/>
        <v>Others</v>
      </c>
      <c r="AE397" t="s">
        <v>244</v>
      </c>
      <c r="AF397" t="s">
        <v>43</v>
      </c>
      <c r="AG397" t="str">
        <f t="shared" si="72"/>
        <v>White or Caucasian</v>
      </c>
      <c r="AH397" t="str">
        <f t="shared" si="83"/>
        <v>White or Caucasian</v>
      </c>
    </row>
    <row r="398" spans="1:34" x14ac:dyDescent="0.25">
      <c r="A398" t="s">
        <v>1227</v>
      </c>
      <c r="B398" t="s">
        <v>1103</v>
      </c>
      <c r="C398" t="s">
        <v>218</v>
      </c>
      <c r="D398" t="s">
        <v>169</v>
      </c>
      <c r="E398" t="s">
        <v>34</v>
      </c>
      <c r="F398" t="str">
        <f t="shared" si="73"/>
        <v>Data Analyst</v>
      </c>
      <c r="G398" t="str">
        <f t="shared" si="74"/>
        <v>Data Analyst</v>
      </c>
      <c r="H398" t="s">
        <v>35</v>
      </c>
      <c r="I398" t="s">
        <v>91</v>
      </c>
      <c r="J398" t="s">
        <v>107</v>
      </c>
      <c r="K398" t="str">
        <f t="shared" si="75"/>
        <v>Tech</v>
      </c>
      <c r="L398" t="str">
        <f t="shared" si="76"/>
        <v>Tech</v>
      </c>
      <c r="M398" t="s">
        <v>50</v>
      </c>
      <c r="N398" t="str">
        <f t="shared" si="77"/>
        <v>R</v>
      </c>
      <c r="O398" t="str">
        <f t="shared" si="78"/>
        <v>R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tr">
        <f t="shared" si="79"/>
        <v>Better Salary</v>
      </c>
      <c r="Y398" t="str">
        <f t="shared" si="80"/>
        <v>Better Salary</v>
      </c>
      <c r="Z398" t="s">
        <v>41</v>
      </c>
      <c r="AA398">
        <v>35</v>
      </c>
      <c r="AB398" t="s">
        <v>113</v>
      </c>
      <c r="AC398" t="str">
        <f t="shared" si="81"/>
        <v>United Kingdom</v>
      </c>
      <c r="AD398" t="str">
        <f t="shared" si="82"/>
        <v>United Kingdom</v>
      </c>
      <c r="AE398" t="s">
        <v>241</v>
      </c>
      <c r="AF398" t="s">
        <v>43</v>
      </c>
      <c r="AG398" t="str">
        <f t="shared" si="72"/>
        <v>White or Caucasian</v>
      </c>
      <c r="AH398" t="str">
        <f t="shared" si="83"/>
        <v>White or Caucasian</v>
      </c>
    </row>
    <row r="399" spans="1:34" x14ac:dyDescent="0.25">
      <c r="A399" t="s">
        <v>1228</v>
      </c>
      <c r="B399" t="s">
        <v>1103</v>
      </c>
      <c r="C399" t="s">
        <v>227</v>
      </c>
      <c r="D399" t="s">
        <v>1229</v>
      </c>
      <c r="E399" t="s">
        <v>34</v>
      </c>
      <c r="F399" t="str">
        <f t="shared" si="73"/>
        <v>Data Analyst</v>
      </c>
      <c r="G399" t="str">
        <f t="shared" si="74"/>
        <v>Data Analyst</v>
      </c>
      <c r="H399" t="s">
        <v>35</v>
      </c>
      <c r="I399" t="s">
        <v>57</v>
      </c>
      <c r="J399" t="s">
        <v>94</v>
      </c>
      <c r="K399" t="str">
        <f t="shared" si="75"/>
        <v>Telecommunication</v>
      </c>
      <c r="L399" t="str">
        <f t="shared" si="76"/>
        <v>Telecommunication</v>
      </c>
      <c r="M399" t="s">
        <v>38</v>
      </c>
      <c r="N399" t="str">
        <f t="shared" si="77"/>
        <v>Python</v>
      </c>
      <c r="O399" t="str">
        <f t="shared" si="78"/>
        <v>Python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tr">
        <f t="shared" si="79"/>
        <v>Better Salary</v>
      </c>
      <c r="Y399" t="str">
        <f t="shared" si="80"/>
        <v>Better Salary</v>
      </c>
      <c r="Z399" t="s">
        <v>41</v>
      </c>
      <c r="AA399">
        <v>28</v>
      </c>
      <c r="AB399" t="s">
        <v>1114</v>
      </c>
      <c r="AC399" t="str">
        <f t="shared" si="81"/>
        <v>Panama</v>
      </c>
      <c r="AD399" t="str">
        <f t="shared" si="82"/>
        <v>Others</v>
      </c>
      <c r="AE399" t="s">
        <v>241</v>
      </c>
      <c r="AF399" t="s">
        <v>95</v>
      </c>
      <c r="AG399" t="str">
        <f t="shared" si="72"/>
        <v>Hispanic or Latino</v>
      </c>
      <c r="AH399" t="str">
        <f t="shared" si="83"/>
        <v>Hispanic or Latino</v>
      </c>
    </row>
    <row r="400" spans="1:34" x14ac:dyDescent="0.25">
      <c r="A400" t="s">
        <v>1230</v>
      </c>
      <c r="B400" t="s">
        <v>1103</v>
      </c>
      <c r="C400" t="s">
        <v>307</v>
      </c>
      <c r="D400" t="s">
        <v>650</v>
      </c>
      <c r="E400" t="s">
        <v>127</v>
      </c>
      <c r="F400" t="str">
        <f t="shared" si="73"/>
        <v>Student/Looking/None</v>
      </c>
      <c r="G400" t="str">
        <f t="shared" si="74"/>
        <v>Student/Looking/None</v>
      </c>
      <c r="H400" t="s">
        <v>47</v>
      </c>
      <c r="I400" t="s">
        <v>57</v>
      </c>
      <c r="J400" t="s">
        <v>107</v>
      </c>
      <c r="K400" t="str">
        <f t="shared" si="75"/>
        <v>Tech</v>
      </c>
      <c r="L400" t="str">
        <f t="shared" si="76"/>
        <v>Tech</v>
      </c>
      <c r="M400" t="s">
        <v>38</v>
      </c>
      <c r="N400" t="str">
        <f t="shared" si="77"/>
        <v>Python</v>
      </c>
      <c r="O400" t="str">
        <f t="shared" si="78"/>
        <v>Python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tr">
        <f t="shared" si="79"/>
        <v>Good Work/Life Balance</v>
      </c>
      <c r="Y400" t="str">
        <f t="shared" si="80"/>
        <v>Good Work/Life Balance</v>
      </c>
      <c r="Z400" t="s">
        <v>69</v>
      </c>
      <c r="AA400">
        <v>24</v>
      </c>
      <c r="AB400" t="s">
        <v>61</v>
      </c>
      <c r="AC400" t="str">
        <f t="shared" si="81"/>
        <v>Nigeria</v>
      </c>
      <c r="AD400" t="str">
        <f t="shared" si="82"/>
        <v>Nigeria</v>
      </c>
      <c r="AE400" t="s">
        <v>241</v>
      </c>
      <c r="AF400" t="s">
        <v>62</v>
      </c>
      <c r="AG400" t="str">
        <f t="shared" si="72"/>
        <v>Black or African American</v>
      </c>
      <c r="AH400" t="str">
        <f t="shared" si="83"/>
        <v>Black or African American</v>
      </c>
    </row>
    <row r="401" spans="1:34" x14ac:dyDescent="0.25">
      <c r="A401" t="s">
        <v>1231</v>
      </c>
      <c r="B401" t="s">
        <v>1103</v>
      </c>
      <c r="C401" t="s">
        <v>415</v>
      </c>
      <c r="D401" t="s">
        <v>1232</v>
      </c>
      <c r="E401" t="s">
        <v>34</v>
      </c>
      <c r="F401" t="str">
        <f t="shared" si="73"/>
        <v>Data Analyst</v>
      </c>
      <c r="G401" t="str">
        <f t="shared" si="74"/>
        <v>Data Analyst</v>
      </c>
      <c r="H401" t="s">
        <v>35</v>
      </c>
      <c r="I401" t="s">
        <v>48</v>
      </c>
      <c r="J401" t="s">
        <v>107</v>
      </c>
      <c r="K401" t="str">
        <f t="shared" si="75"/>
        <v>Tech</v>
      </c>
      <c r="L401" t="str">
        <f t="shared" si="76"/>
        <v>Tech</v>
      </c>
      <c r="M401" t="s">
        <v>38</v>
      </c>
      <c r="N401" t="str">
        <f t="shared" si="77"/>
        <v>Python</v>
      </c>
      <c r="O401" t="str">
        <f t="shared" si="78"/>
        <v>Python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tr">
        <f t="shared" si="79"/>
        <v>Good Culture</v>
      </c>
      <c r="Y401" t="str">
        <f t="shared" si="80"/>
        <v>Good Culture</v>
      </c>
      <c r="Z401" t="s">
        <v>69</v>
      </c>
      <c r="AA401">
        <v>34</v>
      </c>
      <c r="AB401" t="s">
        <v>42</v>
      </c>
      <c r="AC401" t="str">
        <f t="shared" si="81"/>
        <v>United States</v>
      </c>
      <c r="AD401" t="str">
        <f t="shared" si="82"/>
        <v>United States</v>
      </c>
      <c r="AE401" t="s">
        <v>241</v>
      </c>
      <c r="AF401" t="s">
        <v>43</v>
      </c>
      <c r="AG401" t="str">
        <f t="shared" si="72"/>
        <v>White or Caucasian</v>
      </c>
      <c r="AH401" t="str">
        <f t="shared" si="83"/>
        <v>White or Caucasian</v>
      </c>
    </row>
    <row r="402" spans="1:34" x14ac:dyDescent="0.25">
      <c r="A402" t="s">
        <v>1233</v>
      </c>
      <c r="B402" t="s">
        <v>1103</v>
      </c>
      <c r="C402" t="s">
        <v>1234</v>
      </c>
      <c r="D402" t="s">
        <v>200</v>
      </c>
      <c r="E402" t="s">
        <v>34</v>
      </c>
      <c r="F402" t="str">
        <f t="shared" si="73"/>
        <v>Data Analyst</v>
      </c>
      <c r="G402" t="str">
        <f t="shared" si="74"/>
        <v>Data Analyst</v>
      </c>
      <c r="H402" t="s">
        <v>35</v>
      </c>
      <c r="I402" t="s">
        <v>48</v>
      </c>
      <c r="J402" t="s">
        <v>107</v>
      </c>
      <c r="K402" t="str">
        <f t="shared" si="75"/>
        <v>Tech</v>
      </c>
      <c r="L402" t="str">
        <f t="shared" si="76"/>
        <v>Tech</v>
      </c>
      <c r="M402" t="s">
        <v>38</v>
      </c>
      <c r="N402" t="str">
        <f t="shared" si="77"/>
        <v>Python</v>
      </c>
      <c r="O402" t="str">
        <f t="shared" si="78"/>
        <v>Python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tr">
        <f t="shared" si="79"/>
        <v>Good Work/Life Balance</v>
      </c>
      <c r="Y402" t="str">
        <f t="shared" si="80"/>
        <v>Good Work/Life Balance</v>
      </c>
      <c r="Z402" t="s">
        <v>69</v>
      </c>
      <c r="AA402">
        <v>31</v>
      </c>
      <c r="AB402" t="s">
        <v>271</v>
      </c>
      <c r="AC402" t="str">
        <f t="shared" si="81"/>
        <v>Germany</v>
      </c>
      <c r="AD402" t="str">
        <f t="shared" si="82"/>
        <v>Germany</v>
      </c>
      <c r="AE402" t="s">
        <v>244</v>
      </c>
      <c r="AF402" t="s">
        <v>43</v>
      </c>
      <c r="AG402" t="str">
        <f t="shared" si="72"/>
        <v>White or Caucasian</v>
      </c>
      <c r="AH402" t="str">
        <f t="shared" si="83"/>
        <v>White or Caucasian</v>
      </c>
    </row>
    <row r="403" spans="1:34" x14ac:dyDescent="0.25">
      <c r="A403" t="s">
        <v>1235</v>
      </c>
      <c r="B403" t="s">
        <v>1103</v>
      </c>
      <c r="C403" t="s">
        <v>1236</v>
      </c>
      <c r="D403" t="s">
        <v>123</v>
      </c>
      <c r="E403" t="s">
        <v>34</v>
      </c>
      <c r="F403" t="str">
        <f t="shared" si="73"/>
        <v>Data Analyst</v>
      </c>
      <c r="G403" t="str">
        <f t="shared" si="74"/>
        <v>Data Analyst</v>
      </c>
      <c r="H403" t="s">
        <v>35</v>
      </c>
      <c r="I403" t="s">
        <v>57</v>
      </c>
      <c r="J403" t="s">
        <v>107</v>
      </c>
      <c r="K403" t="str">
        <f t="shared" si="75"/>
        <v>Tech</v>
      </c>
      <c r="L403" t="str">
        <f t="shared" si="76"/>
        <v>Tech</v>
      </c>
      <c r="M403" t="s">
        <v>38</v>
      </c>
      <c r="N403" t="str">
        <f t="shared" si="77"/>
        <v>Python</v>
      </c>
      <c r="O403" t="str">
        <f t="shared" si="78"/>
        <v>Python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tr">
        <f t="shared" si="79"/>
        <v>Good Work/Life Balance</v>
      </c>
      <c r="Y403" t="str">
        <f t="shared" si="80"/>
        <v>Good Work/Life Balance</v>
      </c>
      <c r="Z403" t="s">
        <v>41</v>
      </c>
      <c r="AA403">
        <v>30</v>
      </c>
      <c r="AB403" t="s">
        <v>113</v>
      </c>
      <c r="AC403" t="str">
        <f t="shared" si="81"/>
        <v>United Kingdom</v>
      </c>
      <c r="AD403" t="str">
        <f t="shared" si="82"/>
        <v>United Kingdom</v>
      </c>
      <c r="AE403" t="s">
        <v>244</v>
      </c>
      <c r="AF403" t="s">
        <v>52</v>
      </c>
      <c r="AG403" t="str">
        <f t="shared" si="72"/>
        <v>Asian or Asian American</v>
      </c>
      <c r="AH403" t="str">
        <f t="shared" si="83"/>
        <v>Asian or Asian American</v>
      </c>
    </row>
    <row r="404" spans="1:34" x14ac:dyDescent="0.25">
      <c r="A404" t="s">
        <v>1237</v>
      </c>
      <c r="B404" t="s">
        <v>1103</v>
      </c>
      <c r="C404" t="s">
        <v>1236</v>
      </c>
      <c r="D404" t="s">
        <v>301</v>
      </c>
      <c r="E404" t="s">
        <v>56</v>
      </c>
      <c r="F404" t="str">
        <f t="shared" si="73"/>
        <v>Data Engineer</v>
      </c>
      <c r="G404" t="str">
        <f t="shared" si="74"/>
        <v>Data Engineer</v>
      </c>
      <c r="H404" t="s">
        <v>35</v>
      </c>
      <c r="I404" t="s">
        <v>91</v>
      </c>
      <c r="J404" t="s">
        <v>99</v>
      </c>
      <c r="K404" t="str">
        <f t="shared" si="75"/>
        <v>Logistics</v>
      </c>
      <c r="L404" t="str">
        <f t="shared" si="76"/>
        <v>Others</v>
      </c>
      <c r="M404" t="s">
        <v>208</v>
      </c>
      <c r="N404" t="str">
        <f t="shared" si="77"/>
        <v>JavaScript</v>
      </c>
      <c r="O404" t="str">
        <f t="shared" si="78"/>
        <v>JavaScript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tr">
        <f t="shared" si="79"/>
        <v>Better Salary</v>
      </c>
      <c r="Y404" t="str">
        <f t="shared" si="80"/>
        <v>Better Salary</v>
      </c>
      <c r="Z404" t="s">
        <v>41</v>
      </c>
      <c r="AA404">
        <v>40</v>
      </c>
      <c r="AB404" t="s">
        <v>113</v>
      </c>
      <c r="AC404" t="str">
        <f t="shared" si="81"/>
        <v>United Kingdom</v>
      </c>
      <c r="AD404" t="str">
        <f t="shared" si="82"/>
        <v>United Kingdom</v>
      </c>
      <c r="AE404" t="s">
        <v>241</v>
      </c>
      <c r="AF404" t="s">
        <v>43</v>
      </c>
      <c r="AG404" t="str">
        <f t="shared" si="72"/>
        <v>White or Caucasian</v>
      </c>
      <c r="AH404" t="str">
        <f t="shared" si="83"/>
        <v>White or Caucasian</v>
      </c>
    </row>
    <row r="405" spans="1:34" x14ac:dyDescent="0.25">
      <c r="A405" t="s">
        <v>1238</v>
      </c>
      <c r="B405" t="s">
        <v>1103</v>
      </c>
      <c r="C405" t="s">
        <v>1239</v>
      </c>
      <c r="D405" t="s">
        <v>375</v>
      </c>
      <c r="E405" t="s">
        <v>34</v>
      </c>
      <c r="F405" t="str">
        <f t="shared" si="73"/>
        <v>Data Analyst</v>
      </c>
      <c r="G405" t="str">
        <f t="shared" si="74"/>
        <v>Data Analyst</v>
      </c>
      <c r="H405" t="s">
        <v>47</v>
      </c>
      <c r="I405" t="s">
        <v>48</v>
      </c>
      <c r="J405" t="s">
        <v>397</v>
      </c>
      <c r="K405" t="str">
        <f t="shared" si="75"/>
        <v>Consulting</v>
      </c>
      <c r="L405" t="str">
        <f t="shared" si="76"/>
        <v>Others</v>
      </c>
      <c r="M405" t="s">
        <v>50</v>
      </c>
      <c r="N405" t="str">
        <f t="shared" si="77"/>
        <v>R</v>
      </c>
      <c r="O405" t="str">
        <f t="shared" si="78"/>
        <v>R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tr">
        <f t="shared" si="79"/>
        <v>Better Salary</v>
      </c>
      <c r="Y405" t="str">
        <f t="shared" si="80"/>
        <v>Better Salary</v>
      </c>
      <c r="Z405" t="s">
        <v>41</v>
      </c>
      <c r="AA405">
        <v>26</v>
      </c>
      <c r="AB405" t="s">
        <v>42</v>
      </c>
      <c r="AC405" t="str">
        <f t="shared" si="81"/>
        <v>United States</v>
      </c>
      <c r="AD405" t="str">
        <f t="shared" si="82"/>
        <v>United States</v>
      </c>
      <c r="AE405" t="s">
        <v>241</v>
      </c>
      <c r="AF405" t="s">
        <v>95</v>
      </c>
      <c r="AG405" t="str">
        <f t="shared" si="72"/>
        <v>Hispanic or Latino</v>
      </c>
      <c r="AH405" t="str">
        <f t="shared" si="83"/>
        <v>Hispanic or Latino</v>
      </c>
    </row>
    <row r="406" spans="1:34" x14ac:dyDescent="0.25">
      <c r="A406" t="s">
        <v>1240</v>
      </c>
      <c r="B406" t="s">
        <v>1103</v>
      </c>
      <c r="C406" t="s">
        <v>510</v>
      </c>
      <c r="D406" t="s">
        <v>1241</v>
      </c>
      <c r="E406" t="s">
        <v>34</v>
      </c>
      <c r="F406" t="str">
        <f t="shared" si="73"/>
        <v>Data Analyst</v>
      </c>
      <c r="G406" t="str">
        <f t="shared" si="74"/>
        <v>Data Analyst</v>
      </c>
      <c r="H406" t="s">
        <v>47</v>
      </c>
      <c r="I406" t="s">
        <v>86</v>
      </c>
      <c r="J406" t="s">
        <v>37</v>
      </c>
      <c r="K406" t="str">
        <f t="shared" si="75"/>
        <v>Healthcare</v>
      </c>
      <c r="L406" t="str">
        <f t="shared" si="76"/>
        <v>Healthcare</v>
      </c>
      <c r="M406" t="s">
        <v>50</v>
      </c>
      <c r="N406" t="str">
        <f t="shared" si="77"/>
        <v>R</v>
      </c>
      <c r="O406" t="str">
        <f t="shared" si="78"/>
        <v>R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tr">
        <f t="shared" si="79"/>
        <v>Good Culture</v>
      </c>
      <c r="Y406" t="str">
        <f t="shared" si="80"/>
        <v>Good Culture</v>
      </c>
      <c r="Z406" t="s">
        <v>41</v>
      </c>
      <c r="AA406">
        <v>25</v>
      </c>
      <c r="AB406" t="s">
        <v>42</v>
      </c>
      <c r="AC406" t="str">
        <f t="shared" si="81"/>
        <v>United States</v>
      </c>
      <c r="AD406" t="str">
        <f t="shared" si="82"/>
        <v>United States</v>
      </c>
      <c r="AE406" t="s">
        <v>241</v>
      </c>
      <c r="AF406" t="s">
        <v>43</v>
      </c>
      <c r="AG406" t="str">
        <f t="shared" si="72"/>
        <v>White or Caucasian</v>
      </c>
      <c r="AH406" t="str">
        <f t="shared" si="83"/>
        <v>White or Caucasian</v>
      </c>
    </row>
    <row r="407" spans="1:34" x14ac:dyDescent="0.25">
      <c r="A407" t="s">
        <v>1242</v>
      </c>
      <c r="B407" t="s">
        <v>1103</v>
      </c>
      <c r="C407" t="s">
        <v>1243</v>
      </c>
      <c r="D407" t="s">
        <v>817</v>
      </c>
      <c r="E407" t="s">
        <v>34</v>
      </c>
      <c r="F407" t="str">
        <f t="shared" si="73"/>
        <v>Data Analyst</v>
      </c>
      <c r="G407" t="str">
        <f t="shared" si="74"/>
        <v>Data Analyst</v>
      </c>
      <c r="H407" t="s">
        <v>35</v>
      </c>
      <c r="I407" t="s">
        <v>57</v>
      </c>
      <c r="J407" t="s">
        <v>1244</v>
      </c>
      <c r="K407" t="str">
        <f t="shared" si="75"/>
        <v>Maritime</v>
      </c>
      <c r="L407" t="str">
        <f t="shared" si="76"/>
        <v>Others</v>
      </c>
      <c r="M407" t="s">
        <v>322</v>
      </c>
      <c r="N407" t="str">
        <f t="shared" si="77"/>
        <v>Sql</v>
      </c>
      <c r="O407" t="str">
        <f t="shared" si="78"/>
        <v>Sql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tr">
        <f t="shared" si="79"/>
        <v>Good Culture</v>
      </c>
      <c r="Y407" t="str">
        <f t="shared" si="80"/>
        <v>Good Culture</v>
      </c>
      <c r="Z407" t="s">
        <v>41</v>
      </c>
      <c r="AA407">
        <v>45</v>
      </c>
      <c r="AB407" t="s">
        <v>187</v>
      </c>
      <c r="AC407" t="str">
        <f t="shared" si="81"/>
        <v>Greece</v>
      </c>
      <c r="AD407" t="str">
        <f t="shared" si="82"/>
        <v>Others</v>
      </c>
      <c r="AE407" t="s">
        <v>266</v>
      </c>
      <c r="AF407" t="s">
        <v>43</v>
      </c>
      <c r="AG407" t="str">
        <f t="shared" si="72"/>
        <v>White or Caucasian</v>
      </c>
      <c r="AH407" t="str">
        <f t="shared" si="83"/>
        <v>White or Caucasian</v>
      </c>
    </row>
    <row r="408" spans="1:34" x14ac:dyDescent="0.25">
      <c r="A408" t="s">
        <v>1245</v>
      </c>
      <c r="B408" t="s">
        <v>1103</v>
      </c>
      <c r="C408" t="s">
        <v>574</v>
      </c>
      <c r="D408" t="s">
        <v>1246</v>
      </c>
      <c r="E408" t="s">
        <v>34</v>
      </c>
      <c r="F408" t="str">
        <f t="shared" si="73"/>
        <v>Data Analyst</v>
      </c>
      <c r="G408" t="str">
        <f t="shared" si="74"/>
        <v>Data Analyst</v>
      </c>
      <c r="H408" t="s">
        <v>47</v>
      </c>
      <c r="I408" t="s">
        <v>48</v>
      </c>
      <c r="J408" t="s">
        <v>49</v>
      </c>
      <c r="K408" t="str">
        <f t="shared" si="75"/>
        <v>Finance</v>
      </c>
      <c r="L408" t="str">
        <f t="shared" si="76"/>
        <v>Finance</v>
      </c>
      <c r="M408" t="s">
        <v>50</v>
      </c>
      <c r="N408" t="str">
        <f t="shared" si="77"/>
        <v>R</v>
      </c>
      <c r="O408" t="str">
        <f t="shared" si="78"/>
        <v>R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tr">
        <f t="shared" si="79"/>
        <v>Good Culture</v>
      </c>
      <c r="Y408" t="str">
        <f t="shared" si="80"/>
        <v>Good Culture</v>
      </c>
      <c r="Z408" t="s">
        <v>41</v>
      </c>
      <c r="AA408">
        <v>26</v>
      </c>
      <c r="AB408" t="s">
        <v>42</v>
      </c>
      <c r="AC408" t="str">
        <f t="shared" si="81"/>
        <v>United States</v>
      </c>
      <c r="AD408" t="str">
        <f t="shared" si="82"/>
        <v>United States</v>
      </c>
      <c r="AE408" t="s">
        <v>244</v>
      </c>
      <c r="AF408" t="s">
        <v>62</v>
      </c>
      <c r="AG408" t="str">
        <f t="shared" si="72"/>
        <v>Black or African American</v>
      </c>
      <c r="AH408" t="str">
        <f t="shared" si="83"/>
        <v>Black or African American</v>
      </c>
    </row>
    <row r="409" spans="1:34" x14ac:dyDescent="0.25">
      <c r="A409" t="s">
        <v>1247</v>
      </c>
      <c r="B409" t="s">
        <v>1103</v>
      </c>
      <c r="C409" t="s">
        <v>1248</v>
      </c>
      <c r="D409" t="s">
        <v>826</v>
      </c>
      <c r="E409" t="s">
        <v>81</v>
      </c>
      <c r="F409" t="str">
        <f t="shared" si="73"/>
        <v>Data Scientist</v>
      </c>
      <c r="G409" t="str">
        <f t="shared" si="74"/>
        <v>Data Scientist</v>
      </c>
      <c r="H409" t="s">
        <v>47</v>
      </c>
      <c r="I409" t="s">
        <v>57</v>
      </c>
      <c r="J409" t="s">
        <v>49</v>
      </c>
      <c r="K409" t="str">
        <f t="shared" si="75"/>
        <v>Finance</v>
      </c>
      <c r="L409" t="str">
        <f t="shared" si="76"/>
        <v>Finance</v>
      </c>
      <c r="M409" t="s">
        <v>38</v>
      </c>
      <c r="N409" t="str">
        <f t="shared" si="77"/>
        <v>Python</v>
      </c>
      <c r="O409" t="str">
        <f t="shared" si="78"/>
        <v>Python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tr">
        <f t="shared" si="79"/>
        <v>Good Work/Life Balance</v>
      </c>
      <c r="Y409" t="str">
        <f t="shared" si="80"/>
        <v>Good Work/Life Balance</v>
      </c>
      <c r="Z409" t="s">
        <v>41</v>
      </c>
      <c r="AA409">
        <v>26</v>
      </c>
      <c r="AB409" t="s">
        <v>151</v>
      </c>
      <c r="AC409" t="str">
        <f t="shared" si="81"/>
        <v>India</v>
      </c>
      <c r="AD409" t="str">
        <f t="shared" si="82"/>
        <v>India</v>
      </c>
      <c r="AE409" t="s">
        <v>244</v>
      </c>
      <c r="AF409" t="s">
        <v>204</v>
      </c>
      <c r="AG409" t="str">
        <f t="shared" si="72"/>
        <v>Indian</v>
      </c>
      <c r="AH409" t="str">
        <f t="shared" si="83"/>
        <v>Indian</v>
      </c>
    </row>
    <row r="410" spans="1:34" x14ac:dyDescent="0.25">
      <c r="A410" t="s">
        <v>1249</v>
      </c>
      <c r="B410" t="s">
        <v>1103</v>
      </c>
      <c r="C410" t="s">
        <v>602</v>
      </c>
      <c r="D410" t="s">
        <v>1250</v>
      </c>
      <c r="E410" t="s">
        <v>1251</v>
      </c>
      <c r="F410" t="str">
        <f t="shared" si="73"/>
        <v>Researchers</v>
      </c>
      <c r="G410" t="str">
        <f t="shared" si="74"/>
        <v>Others</v>
      </c>
      <c r="H410" t="s">
        <v>35</v>
      </c>
      <c r="I410" t="s">
        <v>57</v>
      </c>
      <c r="J410" t="s">
        <v>49</v>
      </c>
      <c r="K410" t="str">
        <f t="shared" si="75"/>
        <v>Finance</v>
      </c>
      <c r="L410" t="str">
        <f t="shared" si="76"/>
        <v>Finance</v>
      </c>
      <c r="M410" t="s">
        <v>38</v>
      </c>
      <c r="N410" t="str">
        <f t="shared" si="77"/>
        <v>Python</v>
      </c>
      <c r="O410" t="str">
        <f t="shared" si="78"/>
        <v>Python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tr">
        <f t="shared" si="79"/>
        <v>Better Salary</v>
      </c>
      <c r="Y410" t="str">
        <f t="shared" si="80"/>
        <v>Better Salary</v>
      </c>
      <c r="Z410" t="s">
        <v>41</v>
      </c>
      <c r="AA410">
        <v>23</v>
      </c>
      <c r="AB410" t="s">
        <v>151</v>
      </c>
      <c r="AC410" t="str">
        <f t="shared" si="81"/>
        <v>India</v>
      </c>
      <c r="AD410" t="str">
        <f t="shared" si="82"/>
        <v>India</v>
      </c>
      <c r="AE410" t="s">
        <v>244</v>
      </c>
      <c r="AF410" t="s">
        <v>52</v>
      </c>
      <c r="AG410" t="str">
        <f t="shared" si="72"/>
        <v>Asian or Asian American</v>
      </c>
      <c r="AH410" t="str">
        <f t="shared" si="83"/>
        <v>Asian or Asian American</v>
      </c>
    </row>
    <row r="411" spans="1:34" x14ac:dyDescent="0.25">
      <c r="A411" t="s">
        <v>1252</v>
      </c>
      <c r="B411" t="s">
        <v>1103</v>
      </c>
      <c r="C411" t="s">
        <v>613</v>
      </c>
      <c r="D411" t="s">
        <v>193</v>
      </c>
      <c r="E411" t="s">
        <v>56</v>
      </c>
      <c r="F411" t="str">
        <f t="shared" si="73"/>
        <v>Data Engineer</v>
      </c>
      <c r="G411" t="str">
        <f t="shared" si="74"/>
        <v>Data Engineer</v>
      </c>
      <c r="H411" t="s">
        <v>35</v>
      </c>
      <c r="I411" t="s">
        <v>36</v>
      </c>
      <c r="J411" t="s">
        <v>107</v>
      </c>
      <c r="K411" t="str">
        <f t="shared" si="75"/>
        <v>Tech</v>
      </c>
      <c r="L411" t="str">
        <f t="shared" si="76"/>
        <v>Tech</v>
      </c>
      <c r="M411" t="s">
        <v>38</v>
      </c>
      <c r="N411" t="str">
        <f t="shared" si="77"/>
        <v>Python</v>
      </c>
      <c r="O411" t="str">
        <f t="shared" si="78"/>
        <v>Python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tr">
        <f t="shared" si="79"/>
        <v>Good Work/Life Balance</v>
      </c>
      <c r="Y411" t="str">
        <f t="shared" si="80"/>
        <v>Good Work/Life Balance</v>
      </c>
      <c r="Z411" t="s">
        <v>41</v>
      </c>
      <c r="AA411">
        <v>25</v>
      </c>
      <c r="AB411" t="s">
        <v>151</v>
      </c>
      <c r="AC411" t="str">
        <f t="shared" si="81"/>
        <v>India</v>
      </c>
      <c r="AD411" t="str">
        <f t="shared" si="82"/>
        <v>India</v>
      </c>
      <c r="AE411" t="s">
        <v>244</v>
      </c>
      <c r="AF411" t="s">
        <v>52</v>
      </c>
      <c r="AG411" t="str">
        <f t="shared" si="72"/>
        <v>Asian or Asian American</v>
      </c>
      <c r="AH411" t="str">
        <f t="shared" si="83"/>
        <v>Asian or Asian American</v>
      </c>
    </row>
    <row r="412" spans="1:34" x14ac:dyDescent="0.25">
      <c r="A412" t="s">
        <v>1253</v>
      </c>
      <c r="B412" t="s">
        <v>1103</v>
      </c>
      <c r="C412" t="s">
        <v>1254</v>
      </c>
      <c r="D412" t="s">
        <v>219</v>
      </c>
      <c r="E412" t="s">
        <v>34</v>
      </c>
      <c r="F412" t="str">
        <f t="shared" si="73"/>
        <v>Data Analyst</v>
      </c>
      <c r="G412" t="str">
        <f t="shared" si="74"/>
        <v>Data Analyst</v>
      </c>
      <c r="H412" t="s">
        <v>35</v>
      </c>
      <c r="I412" t="s">
        <v>48</v>
      </c>
      <c r="J412" t="s">
        <v>37</v>
      </c>
      <c r="K412" t="str">
        <f t="shared" si="75"/>
        <v>Healthcare</v>
      </c>
      <c r="L412" t="str">
        <f t="shared" si="76"/>
        <v>Healthcare</v>
      </c>
      <c r="M412" t="s">
        <v>50</v>
      </c>
      <c r="N412" t="str">
        <f t="shared" si="77"/>
        <v>R</v>
      </c>
      <c r="O412" t="str">
        <f t="shared" si="78"/>
        <v>R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tr">
        <f t="shared" si="79"/>
        <v>Better Salary</v>
      </c>
      <c r="Y412" t="str">
        <f t="shared" si="80"/>
        <v>Better Salary</v>
      </c>
      <c r="Z412" t="s">
        <v>69</v>
      </c>
      <c r="AA412">
        <v>33</v>
      </c>
      <c r="AB412" t="s">
        <v>42</v>
      </c>
      <c r="AC412" t="str">
        <f t="shared" si="81"/>
        <v>United States</v>
      </c>
      <c r="AD412" t="str">
        <f t="shared" si="82"/>
        <v>United States</v>
      </c>
      <c r="AE412" t="s">
        <v>231</v>
      </c>
      <c r="AF412" t="s">
        <v>43</v>
      </c>
      <c r="AG412" t="str">
        <f t="shared" si="72"/>
        <v>White or Caucasian</v>
      </c>
      <c r="AH412" t="str">
        <f t="shared" si="83"/>
        <v>White or Caucasian</v>
      </c>
    </row>
    <row r="413" spans="1:34" x14ac:dyDescent="0.25">
      <c r="A413" t="s">
        <v>1255</v>
      </c>
      <c r="B413" t="s">
        <v>1103</v>
      </c>
      <c r="C413" t="s">
        <v>1256</v>
      </c>
      <c r="D413" t="s">
        <v>375</v>
      </c>
      <c r="E413" t="s">
        <v>1257</v>
      </c>
      <c r="F413" t="str">
        <f t="shared" si="73"/>
        <v>Senior Business Analyst</v>
      </c>
      <c r="G413" t="str">
        <f t="shared" si="74"/>
        <v>Others</v>
      </c>
      <c r="H413" t="s">
        <v>47</v>
      </c>
      <c r="I413" t="s">
        <v>57</v>
      </c>
      <c r="J413" t="s">
        <v>1258</v>
      </c>
      <c r="K413" t="str">
        <f t="shared" si="75"/>
        <v>Ecommerce</v>
      </c>
      <c r="L413" t="str">
        <f t="shared" si="76"/>
        <v>Others</v>
      </c>
      <c r="M413" t="s">
        <v>322</v>
      </c>
      <c r="N413" t="str">
        <f t="shared" si="77"/>
        <v>Sql</v>
      </c>
      <c r="O413" t="str">
        <f t="shared" si="78"/>
        <v>Sql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tr">
        <f t="shared" si="79"/>
        <v>Learning new skills</v>
      </c>
      <c r="Y413" t="str">
        <f t="shared" si="80"/>
        <v>Others</v>
      </c>
      <c r="Z413" t="s">
        <v>41</v>
      </c>
      <c r="AA413">
        <v>33</v>
      </c>
      <c r="AB413" t="s">
        <v>151</v>
      </c>
      <c r="AC413" t="str">
        <f t="shared" si="81"/>
        <v>India</v>
      </c>
      <c r="AD413" t="str">
        <f t="shared" si="82"/>
        <v>India</v>
      </c>
      <c r="AE413" t="s">
        <v>241</v>
      </c>
      <c r="AF413" t="s">
        <v>52</v>
      </c>
      <c r="AG413" t="str">
        <f t="shared" si="72"/>
        <v>Asian or Asian American</v>
      </c>
      <c r="AH413" t="str">
        <f t="shared" si="83"/>
        <v>Asian or Asian American</v>
      </c>
    </row>
    <row r="414" spans="1:34" x14ac:dyDescent="0.25">
      <c r="A414" t="s">
        <v>1260</v>
      </c>
      <c r="B414" t="s">
        <v>1103</v>
      </c>
      <c r="C414" t="s">
        <v>1261</v>
      </c>
      <c r="D414" t="s">
        <v>483</v>
      </c>
      <c r="E414" t="s">
        <v>34</v>
      </c>
      <c r="F414" t="str">
        <f t="shared" si="73"/>
        <v>Data Analyst</v>
      </c>
      <c r="G414" t="str">
        <f t="shared" si="74"/>
        <v>Data Analyst</v>
      </c>
      <c r="H414" t="s">
        <v>35</v>
      </c>
      <c r="I414" t="s">
        <v>91</v>
      </c>
      <c r="J414" t="s">
        <v>37</v>
      </c>
      <c r="K414" t="str">
        <f t="shared" si="75"/>
        <v>Healthcare</v>
      </c>
      <c r="L414" t="str">
        <f t="shared" si="76"/>
        <v>Healthcare</v>
      </c>
      <c r="M414" t="s">
        <v>50</v>
      </c>
      <c r="N414" t="str">
        <f t="shared" si="77"/>
        <v>R</v>
      </c>
      <c r="O414" t="str">
        <f t="shared" si="78"/>
        <v>R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tr">
        <f t="shared" si="79"/>
        <v>Good Culture</v>
      </c>
      <c r="Y414" t="str">
        <f t="shared" si="80"/>
        <v>Good Culture</v>
      </c>
      <c r="Z414" t="s">
        <v>41</v>
      </c>
      <c r="AA414">
        <v>27</v>
      </c>
      <c r="AB414" t="s">
        <v>42</v>
      </c>
      <c r="AC414" t="str">
        <f t="shared" si="81"/>
        <v>United States</v>
      </c>
      <c r="AD414" t="str">
        <f t="shared" si="82"/>
        <v>United States</v>
      </c>
      <c r="AE414" t="s">
        <v>241</v>
      </c>
      <c r="AF414" t="s">
        <v>43</v>
      </c>
      <c r="AG414" t="str">
        <f t="shared" si="72"/>
        <v>White or Caucasian</v>
      </c>
      <c r="AH414" t="str">
        <f t="shared" si="83"/>
        <v>White or Caucasian</v>
      </c>
    </row>
    <row r="415" spans="1:34" x14ac:dyDescent="0.25">
      <c r="A415" t="s">
        <v>1262</v>
      </c>
      <c r="B415" t="s">
        <v>1103</v>
      </c>
      <c r="C415" t="s">
        <v>1263</v>
      </c>
      <c r="D415" t="s">
        <v>238</v>
      </c>
      <c r="E415" t="s">
        <v>34</v>
      </c>
      <c r="F415" t="str">
        <f t="shared" si="73"/>
        <v>Data Analyst</v>
      </c>
      <c r="G415" t="str">
        <f t="shared" si="74"/>
        <v>Data Analyst</v>
      </c>
      <c r="H415" t="s">
        <v>35</v>
      </c>
      <c r="I415" t="s">
        <v>36</v>
      </c>
      <c r="J415" t="s">
        <v>107</v>
      </c>
      <c r="K415" t="str">
        <f t="shared" si="75"/>
        <v>Tech</v>
      </c>
      <c r="L415" t="str">
        <f t="shared" si="76"/>
        <v>Tech</v>
      </c>
      <c r="M415" t="s">
        <v>38</v>
      </c>
      <c r="N415" t="str">
        <f t="shared" si="77"/>
        <v>Python</v>
      </c>
      <c r="O415" t="str">
        <f t="shared" si="78"/>
        <v>Python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tr">
        <f t="shared" si="79"/>
        <v>Remote Work</v>
      </c>
      <c r="Y415" t="str">
        <f t="shared" si="80"/>
        <v>Remote Work</v>
      </c>
      <c r="Z415" t="s">
        <v>69</v>
      </c>
      <c r="AA415">
        <v>28</v>
      </c>
      <c r="AB415" t="s">
        <v>42</v>
      </c>
      <c r="AC415" t="str">
        <f t="shared" si="81"/>
        <v>United States</v>
      </c>
      <c r="AD415" t="str">
        <f t="shared" si="82"/>
        <v>United States</v>
      </c>
      <c r="AE415" t="s">
        <v>244</v>
      </c>
      <c r="AF415" t="s">
        <v>95</v>
      </c>
      <c r="AG415" t="str">
        <f t="shared" si="72"/>
        <v>Hispanic or Latino</v>
      </c>
      <c r="AH415" t="str">
        <f t="shared" si="83"/>
        <v>Hispanic or Latino</v>
      </c>
    </row>
    <row r="416" spans="1:34" x14ac:dyDescent="0.25">
      <c r="A416" t="s">
        <v>1264</v>
      </c>
      <c r="B416" t="s">
        <v>1103</v>
      </c>
      <c r="C416" t="s">
        <v>1265</v>
      </c>
      <c r="D416" t="s">
        <v>406</v>
      </c>
      <c r="E416" t="s">
        <v>34</v>
      </c>
      <c r="F416" t="str">
        <f t="shared" si="73"/>
        <v>Data Analyst</v>
      </c>
      <c r="G416" t="str">
        <f t="shared" si="74"/>
        <v>Data Analyst</v>
      </c>
      <c r="H416" t="s">
        <v>35</v>
      </c>
      <c r="I416" t="s">
        <v>98</v>
      </c>
      <c r="J416" t="s">
        <v>107</v>
      </c>
      <c r="K416" t="str">
        <f t="shared" si="75"/>
        <v>Tech</v>
      </c>
      <c r="L416" t="str">
        <f t="shared" si="76"/>
        <v>Tech</v>
      </c>
      <c r="M416" t="s">
        <v>38</v>
      </c>
      <c r="N416" t="str">
        <f t="shared" si="77"/>
        <v>Python</v>
      </c>
      <c r="O416" t="str">
        <f t="shared" si="78"/>
        <v>Python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tr">
        <f t="shared" si="79"/>
        <v>Better Salary</v>
      </c>
      <c r="Y416" t="str">
        <f t="shared" si="80"/>
        <v>Better Salary</v>
      </c>
      <c r="Z416" t="s">
        <v>41</v>
      </c>
      <c r="AA416">
        <v>32</v>
      </c>
      <c r="AB416" t="s">
        <v>42</v>
      </c>
      <c r="AC416" t="str">
        <f t="shared" si="81"/>
        <v>United States</v>
      </c>
      <c r="AD416" t="str">
        <f t="shared" si="82"/>
        <v>United States</v>
      </c>
      <c r="AE416" t="s">
        <v>241</v>
      </c>
      <c r="AF416" t="s">
        <v>95</v>
      </c>
      <c r="AG416" t="str">
        <f t="shared" si="72"/>
        <v>Hispanic or Latino</v>
      </c>
      <c r="AH416" t="str">
        <f t="shared" si="83"/>
        <v>Hispanic or Latino</v>
      </c>
    </row>
    <row r="417" spans="1:34" x14ac:dyDescent="0.25">
      <c r="A417" t="s">
        <v>1266</v>
      </c>
      <c r="B417" t="s">
        <v>1103</v>
      </c>
      <c r="C417" t="s">
        <v>1267</v>
      </c>
      <c r="D417" t="s">
        <v>116</v>
      </c>
      <c r="E417" t="s">
        <v>34</v>
      </c>
      <c r="F417" t="str">
        <f t="shared" si="73"/>
        <v>Data Analyst</v>
      </c>
      <c r="G417" t="str">
        <f t="shared" si="74"/>
        <v>Data Analyst</v>
      </c>
      <c r="H417" t="s">
        <v>35</v>
      </c>
      <c r="I417" t="s">
        <v>57</v>
      </c>
      <c r="J417" t="s">
        <v>107</v>
      </c>
      <c r="K417" t="str">
        <f t="shared" si="75"/>
        <v>Tech</v>
      </c>
      <c r="L417" t="str">
        <f t="shared" si="76"/>
        <v>Tech</v>
      </c>
      <c r="M417" t="s">
        <v>38</v>
      </c>
      <c r="N417" t="str">
        <f t="shared" si="77"/>
        <v>Python</v>
      </c>
      <c r="O417" t="str">
        <f t="shared" si="78"/>
        <v>Python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tr">
        <f t="shared" si="79"/>
        <v>Better Salary</v>
      </c>
      <c r="Y417" t="str">
        <f t="shared" si="80"/>
        <v>Better Salary</v>
      </c>
      <c r="Z417" t="s">
        <v>41</v>
      </c>
      <c r="AA417">
        <v>35</v>
      </c>
      <c r="AB417" t="s">
        <v>151</v>
      </c>
      <c r="AC417" t="str">
        <f t="shared" si="81"/>
        <v>India</v>
      </c>
      <c r="AD417" t="str">
        <f t="shared" si="82"/>
        <v>India</v>
      </c>
      <c r="AE417" t="s">
        <v>244</v>
      </c>
      <c r="AF417" t="s">
        <v>52</v>
      </c>
      <c r="AG417" t="str">
        <f t="shared" si="72"/>
        <v>Asian or Asian American</v>
      </c>
      <c r="AH417" t="str">
        <f t="shared" si="83"/>
        <v>Asian or Asian American</v>
      </c>
    </row>
    <row r="418" spans="1:34" x14ac:dyDescent="0.25">
      <c r="A418" t="s">
        <v>1268</v>
      </c>
      <c r="B418" t="s">
        <v>1103</v>
      </c>
      <c r="C418" t="s">
        <v>720</v>
      </c>
      <c r="D418" t="s">
        <v>885</v>
      </c>
      <c r="E418" t="s">
        <v>34</v>
      </c>
      <c r="F418" t="str">
        <f t="shared" si="73"/>
        <v>Data Analyst</v>
      </c>
      <c r="G418" t="str">
        <f t="shared" si="74"/>
        <v>Data Analyst</v>
      </c>
      <c r="H418" t="s">
        <v>35</v>
      </c>
      <c r="I418" t="s">
        <v>91</v>
      </c>
      <c r="J418" t="s">
        <v>716</v>
      </c>
      <c r="K418" t="str">
        <f t="shared" si="75"/>
        <v>Real Estate</v>
      </c>
      <c r="L418" t="str">
        <f t="shared" si="76"/>
        <v>Real Estate</v>
      </c>
      <c r="M418" t="s">
        <v>38</v>
      </c>
      <c r="N418" t="str">
        <f t="shared" si="77"/>
        <v>Python</v>
      </c>
      <c r="O418" t="str">
        <f t="shared" si="78"/>
        <v>Python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tr">
        <f t="shared" si="79"/>
        <v>Good Culture</v>
      </c>
      <c r="Y418" t="str">
        <f t="shared" si="80"/>
        <v>Good Culture</v>
      </c>
      <c r="Z418" t="s">
        <v>41</v>
      </c>
      <c r="AA418">
        <v>34</v>
      </c>
      <c r="AB418" t="s">
        <v>42</v>
      </c>
      <c r="AC418" t="str">
        <f t="shared" si="81"/>
        <v>United States</v>
      </c>
      <c r="AD418" t="str">
        <f t="shared" si="82"/>
        <v>United States</v>
      </c>
      <c r="AE418" t="s">
        <v>244</v>
      </c>
      <c r="AF418" t="s">
        <v>95</v>
      </c>
      <c r="AG418" t="str">
        <f t="shared" si="72"/>
        <v>Hispanic or Latino</v>
      </c>
      <c r="AH418" t="str">
        <f t="shared" si="83"/>
        <v>Hispanic or Latino</v>
      </c>
    </row>
    <row r="419" spans="1:34" x14ac:dyDescent="0.25">
      <c r="A419" t="s">
        <v>1269</v>
      </c>
      <c r="B419" t="s">
        <v>1103</v>
      </c>
      <c r="C419" t="s">
        <v>1270</v>
      </c>
      <c r="D419" t="s">
        <v>508</v>
      </c>
      <c r="E419" t="s">
        <v>34</v>
      </c>
      <c r="F419" t="str">
        <f t="shared" si="73"/>
        <v>Data Analyst</v>
      </c>
      <c r="G419" t="str">
        <f t="shared" si="74"/>
        <v>Data Analyst</v>
      </c>
      <c r="H419" t="s">
        <v>47</v>
      </c>
      <c r="I419" t="s">
        <v>48</v>
      </c>
      <c r="J419" t="s">
        <v>1271</v>
      </c>
      <c r="K419" t="str">
        <f t="shared" si="75"/>
        <v>Electronics</v>
      </c>
      <c r="L419" t="str">
        <f t="shared" si="76"/>
        <v>Others</v>
      </c>
      <c r="M419" t="s">
        <v>38</v>
      </c>
      <c r="N419" t="str">
        <f t="shared" si="77"/>
        <v>Python</v>
      </c>
      <c r="O419" t="str">
        <f t="shared" si="78"/>
        <v>Python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tr">
        <f t="shared" si="79"/>
        <v>Better Salary</v>
      </c>
      <c r="Y419" t="str">
        <f t="shared" si="80"/>
        <v>Better Salary</v>
      </c>
      <c r="Z419" t="s">
        <v>41</v>
      </c>
      <c r="AA419">
        <v>27</v>
      </c>
      <c r="AB419" t="s">
        <v>271</v>
      </c>
      <c r="AC419" t="str">
        <f t="shared" si="81"/>
        <v>Germany</v>
      </c>
      <c r="AD419" t="str">
        <f t="shared" si="82"/>
        <v>Germany</v>
      </c>
      <c r="AE419" t="s">
        <v>244</v>
      </c>
      <c r="AF419" t="s">
        <v>43</v>
      </c>
      <c r="AG419" t="str">
        <f t="shared" si="72"/>
        <v>White or Caucasian</v>
      </c>
      <c r="AH419" t="str">
        <f t="shared" si="83"/>
        <v>White or Caucasian</v>
      </c>
    </row>
    <row r="420" spans="1:34" x14ac:dyDescent="0.25">
      <c r="A420" t="s">
        <v>1272</v>
      </c>
      <c r="B420" t="s">
        <v>1103</v>
      </c>
      <c r="C420" t="s">
        <v>1273</v>
      </c>
      <c r="D420" t="s">
        <v>1199</v>
      </c>
      <c r="E420" t="s">
        <v>1274</v>
      </c>
      <c r="F420" t="str">
        <f t="shared" si="73"/>
        <v>Data Coordinator</v>
      </c>
      <c r="G420" t="str">
        <f t="shared" si="74"/>
        <v>Others</v>
      </c>
      <c r="H420" t="s">
        <v>35</v>
      </c>
      <c r="I420" t="s">
        <v>98</v>
      </c>
      <c r="J420" t="s">
        <v>112</v>
      </c>
      <c r="K420" t="str">
        <f t="shared" si="75"/>
        <v>Education</v>
      </c>
      <c r="L420" t="str">
        <f t="shared" si="76"/>
        <v>Education</v>
      </c>
      <c r="M420" t="s">
        <v>50</v>
      </c>
      <c r="N420" t="str">
        <f t="shared" si="77"/>
        <v>R</v>
      </c>
      <c r="O420" t="str">
        <f t="shared" si="78"/>
        <v>R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tr">
        <f t="shared" si="79"/>
        <v>Good Culture</v>
      </c>
      <c r="Y420" t="str">
        <f t="shared" si="80"/>
        <v>Good Culture</v>
      </c>
      <c r="Z420" t="s">
        <v>69</v>
      </c>
      <c r="AA420">
        <v>30</v>
      </c>
      <c r="AB420" t="s">
        <v>42</v>
      </c>
      <c r="AC420" t="str">
        <f t="shared" si="81"/>
        <v>United States</v>
      </c>
      <c r="AD420" t="str">
        <f t="shared" si="82"/>
        <v>United States</v>
      </c>
      <c r="AE420" t="s">
        <v>244</v>
      </c>
      <c r="AF420" t="s">
        <v>43</v>
      </c>
      <c r="AG420" t="str">
        <f t="shared" si="72"/>
        <v>White or Caucasian</v>
      </c>
      <c r="AH420" t="str">
        <f t="shared" si="83"/>
        <v>White or Caucasian</v>
      </c>
    </row>
    <row r="421" spans="1:34" x14ac:dyDescent="0.25">
      <c r="A421" t="s">
        <v>1275</v>
      </c>
      <c r="B421" t="s">
        <v>1103</v>
      </c>
      <c r="C421" t="s">
        <v>758</v>
      </c>
      <c r="D421" t="s">
        <v>1229</v>
      </c>
      <c r="E421" t="s">
        <v>34</v>
      </c>
      <c r="F421" t="str">
        <f t="shared" si="73"/>
        <v>Data Analyst</v>
      </c>
      <c r="G421" t="str">
        <f t="shared" si="74"/>
        <v>Data Analyst</v>
      </c>
      <c r="H421" t="s">
        <v>47</v>
      </c>
      <c r="I421" t="s">
        <v>98</v>
      </c>
      <c r="J421" t="s">
        <v>1276</v>
      </c>
      <c r="K421" t="str">
        <f t="shared" si="75"/>
        <v>Logistics and warehousing</v>
      </c>
      <c r="L421" t="str">
        <f t="shared" si="76"/>
        <v>Others</v>
      </c>
      <c r="M421" t="s">
        <v>38</v>
      </c>
      <c r="N421" t="str">
        <f t="shared" si="77"/>
        <v>Python</v>
      </c>
      <c r="O421" t="str">
        <f t="shared" si="78"/>
        <v>Python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tr">
        <f t="shared" si="79"/>
        <v>Better Salary</v>
      </c>
      <c r="Y421" t="str">
        <f t="shared" si="80"/>
        <v>Better Salary</v>
      </c>
      <c r="Z421" t="s">
        <v>41</v>
      </c>
      <c r="AA421">
        <v>34</v>
      </c>
      <c r="AB421" t="s">
        <v>42</v>
      </c>
      <c r="AC421" t="str">
        <f t="shared" si="81"/>
        <v>United States</v>
      </c>
      <c r="AD421" t="str">
        <f t="shared" si="82"/>
        <v>United States</v>
      </c>
      <c r="AE421" t="s">
        <v>244</v>
      </c>
      <c r="AF421" t="s">
        <v>43</v>
      </c>
      <c r="AG421" t="str">
        <f t="shared" si="72"/>
        <v>White or Caucasian</v>
      </c>
      <c r="AH421" t="str">
        <f t="shared" si="83"/>
        <v>White or Caucasian</v>
      </c>
    </row>
    <row r="422" spans="1:34" x14ac:dyDescent="0.25">
      <c r="A422" t="s">
        <v>1277</v>
      </c>
      <c r="B422" t="s">
        <v>1103</v>
      </c>
      <c r="C422" t="s">
        <v>1278</v>
      </c>
      <c r="D422" t="s">
        <v>1108</v>
      </c>
      <c r="E422" t="s">
        <v>1279</v>
      </c>
      <c r="F422" t="str">
        <f t="shared" si="73"/>
        <v>Student working as a data analyst intern</v>
      </c>
      <c r="G422" t="str">
        <f t="shared" si="74"/>
        <v>Others</v>
      </c>
      <c r="H422" t="s">
        <v>47</v>
      </c>
      <c r="I422" t="s">
        <v>48</v>
      </c>
      <c r="J422" t="s">
        <v>896</v>
      </c>
      <c r="K422" t="str">
        <f t="shared" si="75"/>
        <v>Utilities</v>
      </c>
      <c r="L422" t="str">
        <f t="shared" si="76"/>
        <v>Others</v>
      </c>
      <c r="M422" t="s">
        <v>38</v>
      </c>
      <c r="N422" t="str">
        <f t="shared" si="77"/>
        <v>Python</v>
      </c>
      <c r="O422" t="str">
        <f t="shared" si="78"/>
        <v>Python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tr">
        <f t="shared" si="79"/>
        <v>Remote Work</v>
      </c>
      <c r="Y422" t="str">
        <f t="shared" si="80"/>
        <v>Remote Work</v>
      </c>
      <c r="Z422" t="s">
        <v>69</v>
      </c>
      <c r="AA422">
        <v>22</v>
      </c>
      <c r="AB422" t="s">
        <v>42</v>
      </c>
      <c r="AC422" t="str">
        <f t="shared" si="81"/>
        <v>United States</v>
      </c>
      <c r="AD422" t="str">
        <f t="shared" si="82"/>
        <v>United States</v>
      </c>
      <c r="AE422" t="s">
        <v>241</v>
      </c>
      <c r="AF422" t="s">
        <v>43</v>
      </c>
      <c r="AG422" t="str">
        <f t="shared" si="72"/>
        <v>White or Caucasian</v>
      </c>
      <c r="AH422" t="str">
        <f t="shared" si="83"/>
        <v>White or Caucasian</v>
      </c>
    </row>
    <row r="423" spans="1:34" x14ac:dyDescent="0.25">
      <c r="A423" t="s">
        <v>1280</v>
      </c>
      <c r="B423" t="s">
        <v>1103</v>
      </c>
      <c r="C423" t="s">
        <v>1281</v>
      </c>
      <c r="D423" t="s">
        <v>967</v>
      </c>
      <c r="E423" t="s">
        <v>34</v>
      </c>
      <c r="F423" t="str">
        <f t="shared" si="73"/>
        <v>Data Analyst</v>
      </c>
      <c r="G423" t="str">
        <f t="shared" si="74"/>
        <v>Data Analyst</v>
      </c>
      <c r="H423" t="s">
        <v>35</v>
      </c>
      <c r="I423" t="s">
        <v>57</v>
      </c>
      <c r="J423" t="s">
        <v>49</v>
      </c>
      <c r="K423" t="str">
        <f t="shared" si="75"/>
        <v>Finance</v>
      </c>
      <c r="L423" t="str">
        <f t="shared" si="76"/>
        <v>Finance</v>
      </c>
      <c r="M423" t="s">
        <v>38</v>
      </c>
      <c r="N423" t="str">
        <f t="shared" si="77"/>
        <v>Python</v>
      </c>
      <c r="O423" t="str">
        <f t="shared" si="78"/>
        <v>Python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tr">
        <f t="shared" si="79"/>
        <v>Good Work/Life Balance</v>
      </c>
      <c r="Y423" t="str">
        <f t="shared" si="80"/>
        <v>Good Work/Life Balance</v>
      </c>
      <c r="Z423" t="s">
        <v>69</v>
      </c>
      <c r="AA423">
        <v>33</v>
      </c>
      <c r="AB423" t="s">
        <v>151</v>
      </c>
      <c r="AC423" t="str">
        <f t="shared" si="81"/>
        <v>India</v>
      </c>
      <c r="AD423" t="str">
        <f t="shared" si="82"/>
        <v>India</v>
      </c>
      <c r="AE423" t="s">
        <v>244</v>
      </c>
      <c r="AF423" t="s">
        <v>52</v>
      </c>
      <c r="AG423" t="str">
        <f t="shared" si="72"/>
        <v>Asian or Asian American</v>
      </c>
      <c r="AH423" t="str">
        <f t="shared" si="83"/>
        <v>Asian or Asian American</v>
      </c>
    </row>
    <row r="424" spans="1:34" x14ac:dyDescent="0.25">
      <c r="A424" t="s">
        <v>1282</v>
      </c>
      <c r="B424" t="s">
        <v>1103</v>
      </c>
      <c r="C424" t="s">
        <v>1283</v>
      </c>
      <c r="D424" t="s">
        <v>1213</v>
      </c>
      <c r="E424" t="s">
        <v>34</v>
      </c>
      <c r="F424" t="str">
        <f t="shared" si="73"/>
        <v>Data Analyst</v>
      </c>
      <c r="G424" t="str">
        <f t="shared" si="74"/>
        <v>Data Analyst</v>
      </c>
      <c r="H424" t="s">
        <v>47</v>
      </c>
      <c r="I424" t="s">
        <v>57</v>
      </c>
      <c r="J424" t="s">
        <v>49</v>
      </c>
      <c r="K424" t="str">
        <f t="shared" si="75"/>
        <v>Finance</v>
      </c>
      <c r="L424" t="str">
        <f t="shared" si="76"/>
        <v>Finance</v>
      </c>
      <c r="M424" t="s">
        <v>38</v>
      </c>
      <c r="N424" t="str">
        <f t="shared" si="77"/>
        <v>Python</v>
      </c>
      <c r="O424" t="str">
        <f t="shared" si="78"/>
        <v>Python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tr">
        <f t="shared" si="79"/>
        <v>Better Salary</v>
      </c>
      <c r="Y424" t="str">
        <f t="shared" si="80"/>
        <v>Better Salary</v>
      </c>
      <c r="Z424" t="s">
        <v>69</v>
      </c>
      <c r="AA424">
        <v>26</v>
      </c>
      <c r="AB424" t="s">
        <v>151</v>
      </c>
      <c r="AC424" t="str">
        <f t="shared" si="81"/>
        <v>India</v>
      </c>
      <c r="AD424" t="str">
        <f t="shared" si="82"/>
        <v>India</v>
      </c>
      <c r="AE424" t="s">
        <v>244</v>
      </c>
      <c r="AF424" t="s">
        <v>52</v>
      </c>
      <c r="AG424" t="str">
        <f t="shared" si="72"/>
        <v>Asian or Asian American</v>
      </c>
      <c r="AH424" t="str">
        <f t="shared" si="83"/>
        <v>Asian or Asian American</v>
      </c>
    </row>
    <row r="425" spans="1:34" x14ac:dyDescent="0.25">
      <c r="A425" t="s">
        <v>1284</v>
      </c>
      <c r="B425" t="s">
        <v>1103</v>
      </c>
      <c r="C425" t="s">
        <v>1285</v>
      </c>
      <c r="D425" t="s">
        <v>340</v>
      </c>
      <c r="E425" t="s">
        <v>56</v>
      </c>
      <c r="F425" t="str">
        <f t="shared" si="73"/>
        <v>Data Engineer</v>
      </c>
      <c r="G425" t="str">
        <f t="shared" si="74"/>
        <v>Data Engineer</v>
      </c>
      <c r="H425" t="s">
        <v>35</v>
      </c>
      <c r="I425" t="s">
        <v>57</v>
      </c>
      <c r="J425" t="s">
        <v>107</v>
      </c>
      <c r="K425" t="str">
        <f t="shared" si="75"/>
        <v>Tech</v>
      </c>
      <c r="L425" t="str">
        <f t="shared" si="76"/>
        <v>Tech</v>
      </c>
      <c r="M425" t="s">
        <v>38</v>
      </c>
      <c r="N425" t="str">
        <f t="shared" si="77"/>
        <v>Python</v>
      </c>
      <c r="O425" t="str">
        <f t="shared" si="78"/>
        <v>Python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tr">
        <f t="shared" si="79"/>
        <v>Better Salary</v>
      </c>
      <c r="Y425" t="str">
        <f t="shared" si="80"/>
        <v>Better Salary</v>
      </c>
      <c r="Z425" t="s">
        <v>41</v>
      </c>
      <c r="AA425">
        <v>28</v>
      </c>
      <c r="AB425" t="s">
        <v>108</v>
      </c>
      <c r="AC425" t="str">
        <f t="shared" si="81"/>
        <v>Argentina</v>
      </c>
      <c r="AD425" t="str">
        <f t="shared" si="82"/>
        <v>Argentina</v>
      </c>
      <c r="AE425" t="s">
        <v>241</v>
      </c>
      <c r="AF425" t="s">
        <v>95</v>
      </c>
      <c r="AG425" t="str">
        <f t="shared" si="72"/>
        <v>Hispanic or Latino</v>
      </c>
      <c r="AH425" t="str">
        <f t="shared" si="83"/>
        <v>Hispanic or Latino</v>
      </c>
    </row>
    <row r="426" spans="1:34" x14ac:dyDescent="0.25">
      <c r="A426" t="s">
        <v>1286</v>
      </c>
      <c r="B426" t="s">
        <v>1103</v>
      </c>
      <c r="C426" t="s">
        <v>788</v>
      </c>
      <c r="D426" t="s">
        <v>1287</v>
      </c>
      <c r="E426" t="s">
        <v>1288</v>
      </c>
      <c r="F426" t="str">
        <f t="shared" si="73"/>
        <v>Driver</v>
      </c>
      <c r="G426" t="str">
        <f t="shared" si="74"/>
        <v>Others</v>
      </c>
      <c r="H426" t="s">
        <v>47</v>
      </c>
      <c r="I426" t="s">
        <v>57</v>
      </c>
      <c r="J426" t="s">
        <v>1289</v>
      </c>
      <c r="K426" t="str">
        <f t="shared" si="75"/>
        <v>Public transport</v>
      </c>
      <c r="L426" t="str">
        <f t="shared" si="76"/>
        <v>Others</v>
      </c>
      <c r="M426" t="s">
        <v>38</v>
      </c>
      <c r="N426" t="str">
        <f t="shared" si="77"/>
        <v>Python</v>
      </c>
      <c r="O426" t="str">
        <f t="shared" si="78"/>
        <v>Python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tr">
        <f t="shared" si="79"/>
        <v>Remote Work</v>
      </c>
      <c r="Y426" t="str">
        <f t="shared" si="80"/>
        <v>Remote Work</v>
      </c>
      <c r="Z426" t="s">
        <v>41</v>
      </c>
      <c r="AA426">
        <v>42</v>
      </c>
      <c r="AB426" t="s">
        <v>113</v>
      </c>
      <c r="AC426" t="str">
        <f t="shared" si="81"/>
        <v>United Kingdom</v>
      </c>
      <c r="AD426" t="str">
        <f t="shared" si="82"/>
        <v>United Kingdom</v>
      </c>
      <c r="AE426" t="s">
        <v>241</v>
      </c>
      <c r="AF426" t="s">
        <v>1290</v>
      </c>
      <c r="AG426" t="str">
        <f t="shared" si="72"/>
        <v>Bla</v>
      </c>
      <c r="AH426" t="str">
        <f t="shared" si="83"/>
        <v>Others</v>
      </c>
    </row>
    <row r="427" spans="1:34" x14ac:dyDescent="0.25">
      <c r="A427" t="s">
        <v>1291</v>
      </c>
      <c r="B427" t="s">
        <v>1103</v>
      </c>
      <c r="C427" t="s">
        <v>1292</v>
      </c>
      <c r="D427" t="s">
        <v>1229</v>
      </c>
      <c r="E427" t="s">
        <v>34</v>
      </c>
      <c r="F427" t="str">
        <f t="shared" si="73"/>
        <v>Data Analyst</v>
      </c>
      <c r="G427" t="str">
        <f t="shared" si="74"/>
        <v>Data Analyst</v>
      </c>
      <c r="H427" t="s">
        <v>47</v>
      </c>
      <c r="I427" t="s">
        <v>57</v>
      </c>
      <c r="J427" t="s">
        <v>1293</v>
      </c>
      <c r="K427" t="str">
        <f t="shared" si="75"/>
        <v>Urbanism</v>
      </c>
      <c r="L427" t="str">
        <f t="shared" si="76"/>
        <v>Others</v>
      </c>
      <c r="M427" t="s">
        <v>50</v>
      </c>
      <c r="N427" t="str">
        <f t="shared" si="77"/>
        <v>R</v>
      </c>
      <c r="O427" t="str">
        <f t="shared" si="78"/>
        <v>R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tr">
        <f t="shared" si="79"/>
        <v>Better Salary</v>
      </c>
      <c r="Y427" t="str">
        <f t="shared" si="80"/>
        <v>Better Salary</v>
      </c>
      <c r="Z427" t="s">
        <v>41</v>
      </c>
      <c r="AA427">
        <v>30</v>
      </c>
      <c r="AB427" t="s">
        <v>890</v>
      </c>
      <c r="AC427" t="str">
        <f t="shared" si="81"/>
        <v>Morocco</v>
      </c>
      <c r="AD427" t="str">
        <f t="shared" si="82"/>
        <v>Others</v>
      </c>
      <c r="AE427" t="s">
        <v>244</v>
      </c>
      <c r="AF427" t="s">
        <v>1294</v>
      </c>
      <c r="AG427" t="str">
        <f t="shared" si="72"/>
        <v>Moroccan</v>
      </c>
      <c r="AH427" t="str">
        <f t="shared" si="83"/>
        <v>Others</v>
      </c>
    </row>
    <row r="428" spans="1:34" x14ac:dyDescent="0.25">
      <c r="A428" t="s">
        <v>1295</v>
      </c>
      <c r="B428" t="s">
        <v>1103</v>
      </c>
      <c r="C428" t="s">
        <v>1296</v>
      </c>
      <c r="D428" t="s">
        <v>348</v>
      </c>
      <c r="E428" t="s">
        <v>81</v>
      </c>
      <c r="F428" t="str">
        <f t="shared" si="73"/>
        <v>Data Scientist</v>
      </c>
      <c r="G428" t="str">
        <f t="shared" si="74"/>
        <v>Data Scientist</v>
      </c>
      <c r="H428" t="s">
        <v>35</v>
      </c>
      <c r="I428" t="s">
        <v>36</v>
      </c>
      <c r="J428" t="s">
        <v>107</v>
      </c>
      <c r="K428" t="str">
        <f t="shared" si="75"/>
        <v>Tech</v>
      </c>
      <c r="L428" t="str">
        <f t="shared" si="76"/>
        <v>Tech</v>
      </c>
      <c r="M428" t="s">
        <v>322</v>
      </c>
      <c r="N428" t="str">
        <f t="shared" si="77"/>
        <v>Sql</v>
      </c>
      <c r="O428" t="str">
        <f t="shared" si="78"/>
        <v>Sql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tr">
        <f t="shared" si="79"/>
        <v>Better Salary</v>
      </c>
      <c r="Y428" t="str">
        <f t="shared" si="80"/>
        <v>Better Salary</v>
      </c>
      <c r="Z428" t="s">
        <v>41</v>
      </c>
      <c r="AA428">
        <v>25</v>
      </c>
      <c r="AB428" t="s">
        <v>42</v>
      </c>
      <c r="AC428" t="str">
        <f t="shared" si="81"/>
        <v>United States</v>
      </c>
      <c r="AD428" t="str">
        <f t="shared" si="82"/>
        <v>United States</v>
      </c>
      <c r="AE428" t="s">
        <v>266</v>
      </c>
      <c r="AF428" t="s">
        <v>43</v>
      </c>
      <c r="AG428" t="str">
        <f t="shared" si="72"/>
        <v>White or Caucasian</v>
      </c>
      <c r="AH428" t="str">
        <f t="shared" si="83"/>
        <v>White or Caucasian</v>
      </c>
    </row>
    <row r="429" spans="1:34" x14ac:dyDescent="0.25">
      <c r="A429" t="s">
        <v>1297</v>
      </c>
      <c r="B429" t="s">
        <v>1103</v>
      </c>
      <c r="C429" t="s">
        <v>1298</v>
      </c>
      <c r="D429" t="s">
        <v>1241</v>
      </c>
      <c r="E429" t="s">
        <v>34</v>
      </c>
      <c r="F429" t="str">
        <f t="shared" si="73"/>
        <v>Data Analyst</v>
      </c>
      <c r="G429" t="str">
        <f t="shared" si="74"/>
        <v>Data Analyst</v>
      </c>
      <c r="H429" t="s">
        <v>35</v>
      </c>
      <c r="I429" t="s">
        <v>48</v>
      </c>
      <c r="J429" t="s">
        <v>117</v>
      </c>
      <c r="K429" t="str">
        <f t="shared" si="75"/>
        <v>Construction</v>
      </c>
      <c r="L429" t="str">
        <f t="shared" si="76"/>
        <v>Construction</v>
      </c>
      <c r="M429" t="s">
        <v>38</v>
      </c>
      <c r="N429" t="str">
        <f t="shared" si="77"/>
        <v>Python</v>
      </c>
      <c r="O429" t="str">
        <f t="shared" si="78"/>
        <v>Python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tr">
        <f t="shared" si="79"/>
        <v>Better Salary</v>
      </c>
      <c r="Y429" t="str">
        <f t="shared" si="80"/>
        <v>Better Salary</v>
      </c>
      <c r="Z429" t="s">
        <v>41</v>
      </c>
      <c r="AA429">
        <v>32</v>
      </c>
      <c r="AB429" t="s">
        <v>42</v>
      </c>
      <c r="AC429" t="str">
        <f t="shared" si="81"/>
        <v>United States</v>
      </c>
      <c r="AD429" t="str">
        <f t="shared" si="82"/>
        <v>United States</v>
      </c>
      <c r="AE429" t="s">
        <v>241</v>
      </c>
      <c r="AF429" t="s">
        <v>62</v>
      </c>
      <c r="AG429" t="str">
        <f t="shared" si="72"/>
        <v>Black or African American</v>
      </c>
      <c r="AH429" t="str">
        <f t="shared" si="83"/>
        <v>Black or African American</v>
      </c>
    </row>
    <row r="430" spans="1:34" x14ac:dyDescent="0.25">
      <c r="A430" t="s">
        <v>1299</v>
      </c>
      <c r="B430" t="s">
        <v>1103</v>
      </c>
      <c r="C430" t="s">
        <v>854</v>
      </c>
      <c r="D430" t="s">
        <v>393</v>
      </c>
      <c r="E430" t="s">
        <v>34</v>
      </c>
      <c r="F430" t="str">
        <f t="shared" si="73"/>
        <v>Data Analyst</v>
      </c>
      <c r="G430" t="str">
        <f t="shared" si="74"/>
        <v>Data Analyst</v>
      </c>
      <c r="H430" t="s">
        <v>47</v>
      </c>
      <c r="I430" t="s">
        <v>57</v>
      </c>
      <c r="J430" t="s">
        <v>107</v>
      </c>
      <c r="K430" t="str">
        <f t="shared" si="75"/>
        <v>Tech</v>
      </c>
      <c r="L430" t="str">
        <f t="shared" si="76"/>
        <v>Tech</v>
      </c>
      <c r="M430" t="s">
        <v>38</v>
      </c>
      <c r="N430" t="str">
        <f t="shared" si="77"/>
        <v>Python</v>
      </c>
      <c r="O430" t="str">
        <f t="shared" si="78"/>
        <v>Python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tr">
        <f t="shared" si="79"/>
        <v>Better Salary</v>
      </c>
      <c r="Y430" t="str">
        <f t="shared" si="80"/>
        <v>Better Salary</v>
      </c>
      <c r="Z430" t="s">
        <v>41</v>
      </c>
      <c r="AA430">
        <v>31</v>
      </c>
      <c r="AB430" t="s">
        <v>271</v>
      </c>
      <c r="AC430" t="str">
        <f t="shared" si="81"/>
        <v>Germany</v>
      </c>
      <c r="AD430" t="str">
        <f t="shared" si="82"/>
        <v>Germany</v>
      </c>
      <c r="AE430" t="s">
        <v>244</v>
      </c>
      <c r="AF430" t="s">
        <v>52</v>
      </c>
      <c r="AG430" t="str">
        <f t="shared" si="72"/>
        <v>Asian or Asian American</v>
      </c>
      <c r="AH430" t="str">
        <f t="shared" si="83"/>
        <v>Asian or Asian American</v>
      </c>
    </row>
    <row r="431" spans="1:34" x14ac:dyDescent="0.25">
      <c r="A431" t="s">
        <v>1300</v>
      </c>
      <c r="B431" t="s">
        <v>1103</v>
      </c>
      <c r="C431" t="s">
        <v>1301</v>
      </c>
      <c r="D431" t="s">
        <v>1302</v>
      </c>
      <c r="E431" t="s">
        <v>34</v>
      </c>
      <c r="F431" t="str">
        <f t="shared" si="73"/>
        <v>Data Analyst</v>
      </c>
      <c r="G431" t="str">
        <f t="shared" si="74"/>
        <v>Data Analyst</v>
      </c>
      <c r="H431" t="s">
        <v>35</v>
      </c>
      <c r="I431" t="s">
        <v>67</v>
      </c>
      <c r="J431" t="s">
        <v>112</v>
      </c>
      <c r="K431" t="str">
        <f t="shared" si="75"/>
        <v>Education</v>
      </c>
      <c r="L431" t="str">
        <f t="shared" si="76"/>
        <v>Education</v>
      </c>
      <c r="M431" t="s">
        <v>38</v>
      </c>
      <c r="N431" t="str">
        <f t="shared" si="77"/>
        <v>Python</v>
      </c>
      <c r="O431" t="str">
        <f t="shared" si="78"/>
        <v>Python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tr">
        <f t="shared" si="79"/>
        <v>Remote Work</v>
      </c>
      <c r="Y431" t="str">
        <f t="shared" si="80"/>
        <v>Remote Work</v>
      </c>
      <c r="Z431" t="s">
        <v>41</v>
      </c>
      <c r="AA431">
        <v>30</v>
      </c>
      <c r="AB431" t="s">
        <v>638</v>
      </c>
      <c r="AC431" t="str">
        <f t="shared" si="81"/>
        <v>UAE</v>
      </c>
      <c r="AD431" t="str">
        <f t="shared" si="82"/>
        <v>Others</v>
      </c>
      <c r="AE431" t="s">
        <v>231</v>
      </c>
      <c r="AF431" t="s">
        <v>43</v>
      </c>
      <c r="AG431" t="str">
        <f t="shared" si="72"/>
        <v>White or Caucasian</v>
      </c>
      <c r="AH431" t="str">
        <f t="shared" si="83"/>
        <v>White or Caucasian</v>
      </c>
    </row>
    <row r="432" spans="1:34" x14ac:dyDescent="0.25">
      <c r="A432" t="s">
        <v>1303</v>
      </c>
      <c r="B432" t="s">
        <v>1103</v>
      </c>
      <c r="C432" t="s">
        <v>1304</v>
      </c>
      <c r="D432" t="s">
        <v>1056</v>
      </c>
      <c r="E432" t="s">
        <v>127</v>
      </c>
      <c r="F432" t="str">
        <f t="shared" si="73"/>
        <v>Student/Looking/None</v>
      </c>
      <c r="G432" t="str">
        <f t="shared" si="74"/>
        <v>Student/Looking/None</v>
      </c>
      <c r="H432" t="s">
        <v>35</v>
      </c>
      <c r="I432" t="s">
        <v>57</v>
      </c>
      <c r="J432" t="s">
        <v>1305</v>
      </c>
      <c r="K432" t="str">
        <f t="shared" si="75"/>
        <v>Reta</v>
      </c>
      <c r="L432" t="str">
        <f t="shared" si="76"/>
        <v>Others</v>
      </c>
      <c r="M432" t="s">
        <v>38</v>
      </c>
      <c r="N432" t="str">
        <f t="shared" si="77"/>
        <v>Python</v>
      </c>
      <c r="O432" t="str">
        <f t="shared" si="78"/>
        <v>Python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tr">
        <f t="shared" si="79"/>
        <v>Better Salary</v>
      </c>
      <c r="Y432" t="str">
        <f t="shared" si="80"/>
        <v>Better Salary</v>
      </c>
      <c r="Z432" t="s">
        <v>41</v>
      </c>
      <c r="AA432">
        <v>23</v>
      </c>
      <c r="AB432" t="s">
        <v>51</v>
      </c>
      <c r="AC432" t="str">
        <f t="shared" si="81"/>
        <v>Canada</v>
      </c>
      <c r="AD432" t="str">
        <f t="shared" si="82"/>
        <v>Canada</v>
      </c>
      <c r="AE432" t="s">
        <v>241</v>
      </c>
      <c r="AF432" t="s">
        <v>52</v>
      </c>
      <c r="AG432" t="str">
        <f t="shared" si="72"/>
        <v>Asian or Asian American</v>
      </c>
      <c r="AH432" t="str">
        <f t="shared" si="83"/>
        <v>Asian or Asian American</v>
      </c>
    </row>
    <row r="433" spans="1:34" x14ac:dyDescent="0.25">
      <c r="A433" t="s">
        <v>1306</v>
      </c>
      <c r="B433" t="s">
        <v>1103</v>
      </c>
      <c r="C433" t="s">
        <v>1307</v>
      </c>
      <c r="D433" t="s">
        <v>317</v>
      </c>
      <c r="E433" t="s">
        <v>1308</v>
      </c>
      <c r="F433" t="str">
        <f t="shared" si="73"/>
        <v>Data manager</v>
      </c>
      <c r="G433" t="str">
        <f t="shared" si="74"/>
        <v>Others</v>
      </c>
      <c r="H433" t="s">
        <v>47</v>
      </c>
      <c r="I433" t="s">
        <v>98</v>
      </c>
      <c r="J433" t="s">
        <v>112</v>
      </c>
      <c r="K433" t="str">
        <f t="shared" si="75"/>
        <v>Education</v>
      </c>
      <c r="L433" t="str">
        <f t="shared" si="76"/>
        <v>Education</v>
      </c>
      <c r="M433" t="s">
        <v>50</v>
      </c>
      <c r="N433" t="str">
        <f t="shared" si="77"/>
        <v>R</v>
      </c>
      <c r="O433" t="str">
        <f t="shared" si="78"/>
        <v>R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tr">
        <f t="shared" si="79"/>
        <v>Remote Work</v>
      </c>
      <c r="Y433" t="str">
        <f t="shared" si="80"/>
        <v>Remote Work</v>
      </c>
      <c r="Z433" t="s">
        <v>69</v>
      </c>
      <c r="AA433">
        <v>31</v>
      </c>
      <c r="AB433" t="s">
        <v>113</v>
      </c>
      <c r="AC433" t="str">
        <f t="shared" si="81"/>
        <v>United Kingdom</v>
      </c>
      <c r="AD433" t="str">
        <f t="shared" si="82"/>
        <v>United Kingdom</v>
      </c>
      <c r="AE433" t="s">
        <v>241</v>
      </c>
      <c r="AF433" t="s">
        <v>43</v>
      </c>
      <c r="AG433" t="str">
        <f t="shared" si="72"/>
        <v>White or Caucasian</v>
      </c>
      <c r="AH433" t="str">
        <f t="shared" si="83"/>
        <v>White or Caucasian</v>
      </c>
    </row>
    <row r="434" spans="1:34" x14ac:dyDescent="0.25">
      <c r="A434" t="s">
        <v>1309</v>
      </c>
      <c r="B434" t="s">
        <v>1103</v>
      </c>
      <c r="C434" t="s">
        <v>1310</v>
      </c>
      <c r="D434" t="s">
        <v>658</v>
      </c>
      <c r="E434" t="s">
        <v>34</v>
      </c>
      <c r="F434" t="str">
        <f t="shared" si="73"/>
        <v>Data Analyst</v>
      </c>
      <c r="G434" t="str">
        <f t="shared" si="74"/>
        <v>Data Analyst</v>
      </c>
      <c r="H434" t="s">
        <v>47</v>
      </c>
      <c r="I434" t="s">
        <v>48</v>
      </c>
      <c r="J434" t="s">
        <v>1311</v>
      </c>
      <c r="K434" t="str">
        <f t="shared" si="75"/>
        <v>Avia</v>
      </c>
      <c r="L434" t="str">
        <f t="shared" si="76"/>
        <v>Others</v>
      </c>
      <c r="M434" t="s">
        <v>38</v>
      </c>
      <c r="N434" t="str">
        <f t="shared" si="77"/>
        <v>Python</v>
      </c>
      <c r="O434" t="str">
        <f t="shared" si="78"/>
        <v>Python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tr">
        <f t="shared" si="79"/>
        <v>Good Work/Life Balance</v>
      </c>
      <c r="Y434" t="str">
        <f t="shared" si="80"/>
        <v>Good Work/Life Balance</v>
      </c>
      <c r="Z434" t="s">
        <v>69</v>
      </c>
      <c r="AA434">
        <v>29</v>
      </c>
      <c r="AB434" t="s">
        <v>1312</v>
      </c>
      <c r="AC434" t="str">
        <f t="shared" si="81"/>
        <v>Fin</v>
      </c>
      <c r="AD434" t="str">
        <f t="shared" si="82"/>
        <v>Others</v>
      </c>
      <c r="AE434" t="s">
        <v>244</v>
      </c>
      <c r="AF434" t="s">
        <v>62</v>
      </c>
      <c r="AG434" t="str">
        <f t="shared" si="72"/>
        <v>Black or African American</v>
      </c>
      <c r="AH434" t="str">
        <f t="shared" si="83"/>
        <v>Black or African American</v>
      </c>
    </row>
    <row r="435" spans="1:34" x14ac:dyDescent="0.25">
      <c r="A435" t="s">
        <v>1313</v>
      </c>
      <c r="B435" t="s">
        <v>1103</v>
      </c>
      <c r="C435" t="s">
        <v>954</v>
      </c>
      <c r="D435" t="s">
        <v>197</v>
      </c>
      <c r="E435" t="s">
        <v>34</v>
      </c>
      <c r="F435" t="str">
        <f t="shared" si="73"/>
        <v>Data Analyst</v>
      </c>
      <c r="G435" t="str">
        <f t="shared" si="74"/>
        <v>Data Analyst</v>
      </c>
      <c r="H435" t="s">
        <v>35</v>
      </c>
      <c r="I435" t="s">
        <v>57</v>
      </c>
      <c r="J435" t="s">
        <v>107</v>
      </c>
      <c r="K435" t="str">
        <f t="shared" si="75"/>
        <v>Tech</v>
      </c>
      <c r="L435" t="str">
        <f t="shared" si="76"/>
        <v>Tech</v>
      </c>
      <c r="M435" t="s">
        <v>38</v>
      </c>
      <c r="N435" t="str">
        <f t="shared" si="77"/>
        <v>Python</v>
      </c>
      <c r="O435" t="str">
        <f t="shared" si="78"/>
        <v>Python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tr">
        <f t="shared" si="79"/>
        <v>Remote Work</v>
      </c>
      <c r="Y435" t="str">
        <f t="shared" si="80"/>
        <v>Remote Work</v>
      </c>
      <c r="Z435" t="s">
        <v>41</v>
      </c>
      <c r="AA435">
        <v>24</v>
      </c>
      <c r="AB435" t="s">
        <v>61</v>
      </c>
      <c r="AC435" t="str">
        <f t="shared" si="81"/>
        <v>Nigeria</v>
      </c>
      <c r="AD435" t="str">
        <f t="shared" si="82"/>
        <v>Nigeria</v>
      </c>
      <c r="AE435" t="s">
        <v>241</v>
      </c>
      <c r="AF435" t="s">
        <v>165</v>
      </c>
      <c r="AG435" t="str">
        <f t="shared" si="72"/>
        <v>African</v>
      </c>
      <c r="AH435" t="str">
        <f t="shared" si="83"/>
        <v>African</v>
      </c>
    </row>
    <row r="436" spans="1:34" x14ac:dyDescent="0.25">
      <c r="A436" t="s">
        <v>1314</v>
      </c>
      <c r="B436" t="s">
        <v>1103</v>
      </c>
      <c r="C436" t="s">
        <v>1315</v>
      </c>
      <c r="D436" t="s">
        <v>197</v>
      </c>
      <c r="E436" t="s">
        <v>1316</v>
      </c>
      <c r="F436" t="str">
        <f t="shared" si="73"/>
        <v>GIS Analyst</v>
      </c>
      <c r="G436" t="str">
        <f t="shared" si="74"/>
        <v>Others</v>
      </c>
      <c r="H436" t="s">
        <v>47</v>
      </c>
      <c r="I436" t="s">
        <v>48</v>
      </c>
      <c r="J436" t="s">
        <v>1317</v>
      </c>
      <c r="K436" t="str">
        <f t="shared" si="75"/>
        <v>State</v>
      </c>
      <c r="L436" t="str">
        <f t="shared" si="76"/>
        <v>Others</v>
      </c>
      <c r="M436" t="s">
        <v>38</v>
      </c>
      <c r="N436" t="str">
        <f t="shared" si="77"/>
        <v>Python</v>
      </c>
      <c r="O436" t="str">
        <f t="shared" si="78"/>
        <v>Python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tr">
        <f t="shared" si="79"/>
        <v>Better Salary</v>
      </c>
      <c r="Y436" t="str">
        <f t="shared" si="80"/>
        <v>Better Salary</v>
      </c>
      <c r="Z436" t="s">
        <v>41</v>
      </c>
      <c r="AA436">
        <v>36</v>
      </c>
      <c r="AB436" t="s">
        <v>42</v>
      </c>
      <c r="AC436" t="str">
        <f t="shared" si="81"/>
        <v>United States</v>
      </c>
      <c r="AD436" t="str">
        <f t="shared" si="82"/>
        <v>United States</v>
      </c>
      <c r="AE436" t="s">
        <v>244</v>
      </c>
      <c r="AF436" t="s">
        <v>52</v>
      </c>
      <c r="AG436" t="str">
        <f t="shared" si="72"/>
        <v>Asian or Asian American</v>
      </c>
      <c r="AH436" t="str">
        <f t="shared" si="83"/>
        <v>Asian or Asian American</v>
      </c>
    </row>
    <row r="437" spans="1:34" x14ac:dyDescent="0.25">
      <c r="A437" t="s">
        <v>1318</v>
      </c>
      <c r="B437" t="s">
        <v>1103</v>
      </c>
      <c r="C437" t="s">
        <v>1319</v>
      </c>
      <c r="D437" t="s">
        <v>362</v>
      </c>
      <c r="E437" t="s">
        <v>34</v>
      </c>
      <c r="F437" t="str">
        <f t="shared" si="73"/>
        <v>Data Analyst</v>
      </c>
      <c r="G437" t="str">
        <f t="shared" si="74"/>
        <v>Data Analyst</v>
      </c>
      <c r="H437" t="s">
        <v>35</v>
      </c>
      <c r="I437" t="s">
        <v>48</v>
      </c>
      <c r="J437" t="s">
        <v>716</v>
      </c>
      <c r="K437" t="str">
        <f t="shared" si="75"/>
        <v>Real Estate</v>
      </c>
      <c r="L437" t="str">
        <f t="shared" si="76"/>
        <v>Real Estate</v>
      </c>
      <c r="M437" t="s">
        <v>50</v>
      </c>
      <c r="N437" t="str">
        <f t="shared" si="77"/>
        <v>R</v>
      </c>
      <c r="O437" t="str">
        <f t="shared" si="78"/>
        <v>R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tr">
        <f t="shared" si="79"/>
        <v>Remote Work</v>
      </c>
      <c r="Y437" t="str">
        <f t="shared" si="80"/>
        <v>Remote Work</v>
      </c>
      <c r="Z437" t="s">
        <v>69</v>
      </c>
      <c r="AA437">
        <v>32</v>
      </c>
      <c r="AB437" t="s">
        <v>42</v>
      </c>
      <c r="AC437" t="str">
        <f t="shared" si="81"/>
        <v>United States</v>
      </c>
      <c r="AD437" t="str">
        <f t="shared" si="82"/>
        <v>United States</v>
      </c>
      <c r="AE437" t="s">
        <v>244</v>
      </c>
      <c r="AF437" t="s">
        <v>43</v>
      </c>
      <c r="AG437" t="str">
        <f t="shared" si="72"/>
        <v>White or Caucasian</v>
      </c>
      <c r="AH437" t="str">
        <f t="shared" si="83"/>
        <v>White or Caucasian</v>
      </c>
    </row>
    <row r="438" spans="1:34" x14ac:dyDescent="0.25">
      <c r="A438" t="s">
        <v>1320</v>
      </c>
      <c r="B438" t="s">
        <v>1103</v>
      </c>
      <c r="C438" t="s">
        <v>1321</v>
      </c>
      <c r="D438" t="s">
        <v>221</v>
      </c>
      <c r="E438" t="s">
        <v>270</v>
      </c>
      <c r="F438" t="str">
        <f t="shared" si="73"/>
        <v>Business Analyst</v>
      </c>
      <c r="G438" t="str">
        <f t="shared" si="74"/>
        <v>Business Analyst</v>
      </c>
      <c r="H438" t="s">
        <v>35</v>
      </c>
      <c r="I438" t="s">
        <v>91</v>
      </c>
      <c r="J438" t="s">
        <v>37</v>
      </c>
      <c r="K438" t="str">
        <f t="shared" si="75"/>
        <v>Healthcare</v>
      </c>
      <c r="L438" t="str">
        <f t="shared" si="76"/>
        <v>Healthcare</v>
      </c>
      <c r="M438" t="s">
        <v>38</v>
      </c>
      <c r="N438" t="str">
        <f t="shared" si="77"/>
        <v>Python</v>
      </c>
      <c r="O438" t="str">
        <f t="shared" si="78"/>
        <v>Python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tr">
        <f t="shared" si="79"/>
        <v>Remote Work</v>
      </c>
      <c r="Y438" t="str">
        <f t="shared" si="80"/>
        <v>Remote Work</v>
      </c>
      <c r="Z438" t="s">
        <v>69</v>
      </c>
      <c r="AA438">
        <v>36</v>
      </c>
      <c r="AB438" t="s">
        <v>42</v>
      </c>
      <c r="AC438" t="str">
        <f t="shared" si="81"/>
        <v>United States</v>
      </c>
      <c r="AD438" t="str">
        <f t="shared" si="82"/>
        <v>United States</v>
      </c>
      <c r="AE438" t="s">
        <v>241</v>
      </c>
      <c r="AF438" t="s">
        <v>43</v>
      </c>
      <c r="AG438" t="str">
        <f t="shared" si="72"/>
        <v>White or Caucasian</v>
      </c>
      <c r="AH438" t="str">
        <f t="shared" si="83"/>
        <v>White or Caucasian</v>
      </c>
    </row>
    <row r="439" spans="1:34" x14ac:dyDescent="0.25">
      <c r="A439" t="s">
        <v>1322</v>
      </c>
      <c r="B439" t="s">
        <v>1103</v>
      </c>
      <c r="C439" t="s">
        <v>981</v>
      </c>
      <c r="D439" t="s">
        <v>1213</v>
      </c>
      <c r="E439" t="s">
        <v>56</v>
      </c>
      <c r="F439" t="str">
        <f t="shared" si="73"/>
        <v>Data Engineer</v>
      </c>
      <c r="G439" t="str">
        <f t="shared" si="74"/>
        <v>Data Engineer</v>
      </c>
      <c r="H439" t="s">
        <v>47</v>
      </c>
      <c r="I439" t="s">
        <v>36</v>
      </c>
      <c r="J439" t="s">
        <v>37</v>
      </c>
      <c r="K439" t="str">
        <f t="shared" si="75"/>
        <v>Healthcare</v>
      </c>
      <c r="L439" t="str">
        <f t="shared" si="76"/>
        <v>Healthcare</v>
      </c>
      <c r="M439" t="s">
        <v>88</v>
      </c>
      <c r="N439" t="str">
        <f t="shared" si="77"/>
        <v>SQL</v>
      </c>
      <c r="O439" t="str">
        <f t="shared" si="78"/>
        <v>SQL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tr">
        <f t="shared" si="79"/>
        <v>Better Salary</v>
      </c>
      <c r="Y439" t="str">
        <f t="shared" si="80"/>
        <v>Better Salary</v>
      </c>
      <c r="Z439" t="s">
        <v>41</v>
      </c>
      <c r="AA439">
        <v>30</v>
      </c>
      <c r="AB439" t="s">
        <v>42</v>
      </c>
      <c r="AC439" t="str">
        <f t="shared" si="81"/>
        <v>United States</v>
      </c>
      <c r="AD439" t="str">
        <f t="shared" si="82"/>
        <v>United States</v>
      </c>
      <c r="AE439" t="s">
        <v>241</v>
      </c>
      <c r="AF439" t="s">
        <v>43</v>
      </c>
      <c r="AG439" t="str">
        <f t="shared" si="72"/>
        <v>White or Caucasian</v>
      </c>
      <c r="AH439" t="str">
        <f t="shared" si="83"/>
        <v>White or Caucasian</v>
      </c>
    </row>
    <row r="440" spans="1:34" x14ac:dyDescent="0.25">
      <c r="A440" t="s">
        <v>1323</v>
      </c>
      <c r="B440" t="s">
        <v>1103</v>
      </c>
      <c r="C440" t="s">
        <v>991</v>
      </c>
      <c r="D440" t="s">
        <v>1324</v>
      </c>
      <c r="E440" t="s">
        <v>127</v>
      </c>
      <c r="F440" t="str">
        <f t="shared" si="73"/>
        <v>Student/Looking/None</v>
      </c>
      <c r="G440" t="str">
        <f t="shared" si="74"/>
        <v>Student/Looking/None</v>
      </c>
      <c r="H440" t="s">
        <v>35</v>
      </c>
      <c r="I440" t="s">
        <v>57</v>
      </c>
      <c r="J440" t="s">
        <v>1325</v>
      </c>
      <c r="K440" t="str">
        <f t="shared" si="75"/>
        <v>Looking for job</v>
      </c>
      <c r="L440" t="str">
        <f t="shared" si="76"/>
        <v>Others</v>
      </c>
      <c r="M440" t="s">
        <v>50</v>
      </c>
      <c r="N440" t="str">
        <f t="shared" si="77"/>
        <v>R</v>
      </c>
      <c r="O440" t="str">
        <f t="shared" si="78"/>
        <v>R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tr">
        <f t="shared" si="79"/>
        <v>Good Work/Life Balance</v>
      </c>
      <c r="Y440" t="str">
        <f t="shared" si="80"/>
        <v>Good Work/Life Balance</v>
      </c>
      <c r="Z440" t="s">
        <v>41</v>
      </c>
      <c r="AA440">
        <v>42</v>
      </c>
      <c r="AB440" t="s">
        <v>148</v>
      </c>
      <c r="AC440" t="str">
        <f t="shared" si="81"/>
        <v>Sudan</v>
      </c>
      <c r="AD440" t="str">
        <f t="shared" si="82"/>
        <v>Others</v>
      </c>
      <c r="AE440" t="s">
        <v>244</v>
      </c>
      <c r="AF440" t="s">
        <v>62</v>
      </c>
      <c r="AG440" t="str">
        <f t="shared" si="72"/>
        <v>Black or African American</v>
      </c>
      <c r="AH440" t="str">
        <f t="shared" si="83"/>
        <v>Black or African American</v>
      </c>
    </row>
    <row r="441" spans="1:34" x14ac:dyDescent="0.25">
      <c r="A441" t="s">
        <v>1326</v>
      </c>
      <c r="B441" t="s">
        <v>1103</v>
      </c>
      <c r="C441" t="s">
        <v>1327</v>
      </c>
      <c r="D441" t="s">
        <v>1328</v>
      </c>
      <c r="E441" t="s">
        <v>34</v>
      </c>
      <c r="F441" t="str">
        <f t="shared" si="73"/>
        <v>Data Analyst</v>
      </c>
      <c r="G441" t="str">
        <f t="shared" si="74"/>
        <v>Data Analyst</v>
      </c>
      <c r="H441" t="s">
        <v>35</v>
      </c>
      <c r="I441" t="s">
        <v>91</v>
      </c>
      <c r="J441" t="s">
        <v>37</v>
      </c>
      <c r="K441" t="str">
        <f t="shared" si="75"/>
        <v>Healthcare</v>
      </c>
      <c r="L441" t="str">
        <f t="shared" si="76"/>
        <v>Healthcare</v>
      </c>
      <c r="M441" t="s">
        <v>537</v>
      </c>
      <c r="N441" t="str">
        <f t="shared" si="77"/>
        <v>DAX</v>
      </c>
      <c r="O441" t="str">
        <f t="shared" si="78"/>
        <v>DAX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tr">
        <f t="shared" si="79"/>
        <v>Remote Work</v>
      </c>
      <c r="Y441" t="str">
        <f t="shared" si="80"/>
        <v>Remote Work</v>
      </c>
      <c r="Z441" t="s">
        <v>41</v>
      </c>
      <c r="AA441">
        <v>53</v>
      </c>
      <c r="AB441" t="s">
        <v>1329</v>
      </c>
      <c r="AC441" t="str">
        <f t="shared" si="81"/>
        <v>Austr</v>
      </c>
      <c r="AD441" t="str">
        <f t="shared" si="82"/>
        <v>Others</v>
      </c>
      <c r="AE441" t="s">
        <v>328</v>
      </c>
      <c r="AF441" t="s">
        <v>43</v>
      </c>
      <c r="AG441" t="str">
        <f t="shared" si="72"/>
        <v>White or Caucasian</v>
      </c>
      <c r="AH441" t="str">
        <f t="shared" si="83"/>
        <v>White or Caucasian</v>
      </c>
    </row>
    <row r="442" spans="1:34" x14ac:dyDescent="0.25">
      <c r="A442" t="s">
        <v>1330</v>
      </c>
      <c r="B442" t="s">
        <v>1103</v>
      </c>
      <c r="C442" t="s">
        <v>1331</v>
      </c>
      <c r="D442" t="s">
        <v>1332</v>
      </c>
      <c r="E442" t="s">
        <v>34</v>
      </c>
      <c r="F442" t="str">
        <f t="shared" si="73"/>
        <v>Data Analyst</v>
      </c>
      <c r="G442" t="str">
        <f t="shared" si="74"/>
        <v>Data Analyst</v>
      </c>
      <c r="H442" t="s">
        <v>47</v>
      </c>
      <c r="I442" t="s">
        <v>57</v>
      </c>
      <c r="J442" t="s">
        <v>49</v>
      </c>
      <c r="K442" t="str">
        <f t="shared" si="75"/>
        <v>Finance</v>
      </c>
      <c r="L442" t="str">
        <f t="shared" si="76"/>
        <v>Finance</v>
      </c>
      <c r="M442" t="s">
        <v>38</v>
      </c>
      <c r="N442" t="str">
        <f t="shared" si="77"/>
        <v>Python</v>
      </c>
      <c r="O442" t="str">
        <f t="shared" si="78"/>
        <v>Python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tr">
        <f t="shared" si="79"/>
        <v>Better Salary</v>
      </c>
      <c r="Y442" t="str">
        <f t="shared" si="80"/>
        <v>Better Salary</v>
      </c>
      <c r="Z442" t="s">
        <v>41</v>
      </c>
      <c r="AA442">
        <v>25</v>
      </c>
      <c r="AB442" t="s">
        <v>136</v>
      </c>
      <c r="AC442" t="str">
        <f t="shared" si="81"/>
        <v>Kenya</v>
      </c>
      <c r="AD442" t="str">
        <f t="shared" si="82"/>
        <v>Kenya</v>
      </c>
      <c r="AE442" t="s">
        <v>231</v>
      </c>
      <c r="AF442" t="s">
        <v>1333</v>
      </c>
      <c r="AG442" t="str">
        <f t="shared" si="72"/>
        <v>Indian</v>
      </c>
      <c r="AH442" t="str">
        <f t="shared" si="83"/>
        <v>Indian</v>
      </c>
    </row>
    <row r="443" spans="1:34" x14ac:dyDescent="0.25">
      <c r="A443" t="s">
        <v>1334</v>
      </c>
      <c r="B443" t="s">
        <v>1103</v>
      </c>
      <c r="C443" t="s">
        <v>1335</v>
      </c>
      <c r="D443" t="s">
        <v>150</v>
      </c>
      <c r="E443" t="s">
        <v>34</v>
      </c>
      <c r="F443" t="str">
        <f t="shared" si="73"/>
        <v>Data Analyst</v>
      </c>
      <c r="G443" t="str">
        <f t="shared" si="74"/>
        <v>Data Analyst</v>
      </c>
      <c r="H443" t="s">
        <v>47</v>
      </c>
      <c r="I443" t="s">
        <v>57</v>
      </c>
      <c r="J443" t="s">
        <v>37</v>
      </c>
      <c r="K443" t="str">
        <f t="shared" si="75"/>
        <v>Healthcare</v>
      </c>
      <c r="L443" t="str">
        <f t="shared" si="76"/>
        <v>Healthcare</v>
      </c>
      <c r="M443" t="s">
        <v>38</v>
      </c>
      <c r="N443" t="str">
        <f t="shared" si="77"/>
        <v>Python</v>
      </c>
      <c r="O443" t="str">
        <f t="shared" si="78"/>
        <v>Python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tr">
        <f t="shared" si="79"/>
        <v>Better Salary</v>
      </c>
      <c r="Y443" t="str">
        <f t="shared" si="80"/>
        <v>Better Salary</v>
      </c>
      <c r="Z443" t="s">
        <v>41</v>
      </c>
      <c r="AA443">
        <v>23</v>
      </c>
      <c r="AB443" t="s">
        <v>1336</v>
      </c>
      <c r="AC443" t="str">
        <f t="shared" si="81"/>
        <v>Leba</v>
      </c>
      <c r="AD443" t="str">
        <f t="shared" si="82"/>
        <v>Others</v>
      </c>
      <c r="AE443" t="s">
        <v>241</v>
      </c>
      <c r="AF443" t="s">
        <v>43</v>
      </c>
      <c r="AG443" t="str">
        <f t="shared" si="72"/>
        <v>White or Caucasian</v>
      </c>
      <c r="AH443" t="str">
        <f t="shared" si="83"/>
        <v>White or Caucasian</v>
      </c>
    </row>
    <row r="444" spans="1:34" x14ac:dyDescent="0.25">
      <c r="A444" t="s">
        <v>1337</v>
      </c>
      <c r="B444" t="s">
        <v>1103</v>
      </c>
      <c r="C444" t="s">
        <v>1338</v>
      </c>
      <c r="D444" t="s">
        <v>1339</v>
      </c>
      <c r="E444" t="s">
        <v>34</v>
      </c>
      <c r="F444" t="str">
        <f t="shared" si="73"/>
        <v>Data Analyst</v>
      </c>
      <c r="G444" t="str">
        <f t="shared" si="74"/>
        <v>Data Analyst</v>
      </c>
      <c r="H444" t="s">
        <v>35</v>
      </c>
      <c r="I444" t="s">
        <v>57</v>
      </c>
      <c r="J444" t="s">
        <v>798</v>
      </c>
      <c r="K444" t="str">
        <f t="shared" si="75"/>
        <v>Agriculture</v>
      </c>
      <c r="L444" t="str">
        <f t="shared" si="76"/>
        <v>Others</v>
      </c>
      <c r="M444" t="s">
        <v>38</v>
      </c>
      <c r="N444" t="str">
        <f t="shared" si="77"/>
        <v>Python</v>
      </c>
      <c r="O444" t="str">
        <f t="shared" si="78"/>
        <v>Python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tr">
        <f t="shared" si="79"/>
        <v>Better Salary</v>
      </c>
      <c r="Y444" t="str">
        <f t="shared" si="80"/>
        <v>Better Salary</v>
      </c>
      <c r="Z444" t="s">
        <v>41</v>
      </c>
      <c r="AA444">
        <v>36</v>
      </c>
      <c r="AB444" t="s">
        <v>1340</v>
      </c>
      <c r="AC444" t="str">
        <f t="shared" si="81"/>
        <v>Saudi Arabia</v>
      </c>
      <c r="AD444" t="str">
        <f t="shared" si="82"/>
        <v>Others</v>
      </c>
      <c r="AE444" t="s">
        <v>241</v>
      </c>
      <c r="AF444" t="s">
        <v>1341</v>
      </c>
      <c r="AG444" t="str">
        <f t="shared" si="72"/>
        <v>Arab</v>
      </c>
      <c r="AH444" t="str">
        <f t="shared" si="83"/>
        <v>Others</v>
      </c>
    </row>
    <row r="445" spans="1:34" x14ac:dyDescent="0.25">
      <c r="A445" t="s">
        <v>1342</v>
      </c>
      <c r="B445" t="s">
        <v>1103</v>
      </c>
      <c r="C445" t="s">
        <v>1343</v>
      </c>
      <c r="D445" t="s">
        <v>1344</v>
      </c>
      <c r="E445" t="s">
        <v>34</v>
      </c>
      <c r="F445" t="str">
        <f t="shared" si="73"/>
        <v>Data Analyst</v>
      </c>
      <c r="G445" t="str">
        <f t="shared" si="74"/>
        <v>Data Analyst</v>
      </c>
      <c r="H445" t="s">
        <v>35</v>
      </c>
      <c r="I445" t="s">
        <v>48</v>
      </c>
      <c r="J445" t="s">
        <v>37</v>
      </c>
      <c r="K445" t="str">
        <f t="shared" si="75"/>
        <v>Healthcare</v>
      </c>
      <c r="L445" t="str">
        <f t="shared" si="76"/>
        <v>Healthcare</v>
      </c>
      <c r="M445" t="s">
        <v>1345</v>
      </c>
      <c r="N445" t="str">
        <f t="shared" si="77"/>
        <v>Sql &amp; plsql</v>
      </c>
      <c r="O445" t="str">
        <f t="shared" si="78"/>
        <v>Others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tr">
        <f t="shared" si="79"/>
        <v>Good Work/Life Balance</v>
      </c>
      <c r="Y445" t="str">
        <f t="shared" si="80"/>
        <v>Good Work/Life Balance</v>
      </c>
      <c r="Z445" t="s">
        <v>41</v>
      </c>
      <c r="AA445">
        <v>32</v>
      </c>
      <c r="AB445" t="s">
        <v>1346</v>
      </c>
      <c r="AC445" t="str">
        <f t="shared" si="81"/>
        <v>United Arab Emirates</v>
      </c>
      <c r="AD445" t="str">
        <f t="shared" si="82"/>
        <v>Others</v>
      </c>
      <c r="AE445" t="s">
        <v>241</v>
      </c>
      <c r="AF445" t="s">
        <v>1347</v>
      </c>
      <c r="AG445" t="str">
        <f t="shared" si="72"/>
        <v>Sudanese African</v>
      </c>
      <c r="AH445" t="str">
        <f t="shared" si="83"/>
        <v>Others</v>
      </c>
    </row>
    <row r="446" spans="1:34" x14ac:dyDescent="0.25">
      <c r="A446" t="s">
        <v>1348</v>
      </c>
      <c r="B446" t="s">
        <v>1103</v>
      </c>
      <c r="C446" t="s">
        <v>1349</v>
      </c>
      <c r="D446" t="s">
        <v>135</v>
      </c>
      <c r="E446" t="s">
        <v>34</v>
      </c>
      <c r="F446" t="str">
        <f t="shared" si="73"/>
        <v>Data Analyst</v>
      </c>
      <c r="G446" t="str">
        <f t="shared" si="74"/>
        <v>Data Analyst</v>
      </c>
      <c r="H446" t="s">
        <v>47</v>
      </c>
      <c r="I446" t="s">
        <v>91</v>
      </c>
      <c r="J446" t="s">
        <v>49</v>
      </c>
      <c r="K446" t="str">
        <f t="shared" si="75"/>
        <v>Finance</v>
      </c>
      <c r="L446" t="str">
        <f t="shared" si="76"/>
        <v>Finance</v>
      </c>
      <c r="M446" t="s">
        <v>38</v>
      </c>
      <c r="N446" t="str">
        <f t="shared" si="77"/>
        <v>Python</v>
      </c>
      <c r="O446" t="str">
        <f t="shared" si="78"/>
        <v>Python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tr">
        <f t="shared" si="79"/>
        <v>Challenging / exciting problems</v>
      </c>
      <c r="Y446" t="str">
        <f t="shared" si="80"/>
        <v>Others</v>
      </c>
      <c r="Z446" t="s">
        <v>41</v>
      </c>
      <c r="AA446">
        <v>25</v>
      </c>
      <c r="AB446" t="s">
        <v>42</v>
      </c>
      <c r="AC446" t="str">
        <f t="shared" si="81"/>
        <v>United States</v>
      </c>
      <c r="AD446" t="str">
        <f t="shared" si="82"/>
        <v>United States</v>
      </c>
      <c r="AE446" t="s">
        <v>244</v>
      </c>
      <c r="AF446" t="s">
        <v>95</v>
      </c>
      <c r="AG446" t="str">
        <f t="shared" si="72"/>
        <v>Hispanic or Latino</v>
      </c>
      <c r="AH446" t="str">
        <f t="shared" si="83"/>
        <v>Hispanic or Latino</v>
      </c>
    </row>
    <row r="447" spans="1:34" x14ac:dyDescent="0.25">
      <c r="A447" t="s">
        <v>1351</v>
      </c>
      <c r="B447" t="s">
        <v>1103</v>
      </c>
      <c r="C447" t="s">
        <v>1352</v>
      </c>
      <c r="D447" t="s">
        <v>1028</v>
      </c>
      <c r="E447" t="s">
        <v>56</v>
      </c>
      <c r="F447" t="str">
        <f t="shared" si="73"/>
        <v>Data Engineer</v>
      </c>
      <c r="G447" t="str">
        <f t="shared" si="74"/>
        <v>Data Engineer</v>
      </c>
      <c r="H447" t="s">
        <v>35</v>
      </c>
      <c r="I447" t="s">
        <v>48</v>
      </c>
      <c r="J447" t="s">
        <v>107</v>
      </c>
      <c r="K447" t="str">
        <f t="shared" si="75"/>
        <v>Tech</v>
      </c>
      <c r="L447" t="str">
        <f t="shared" si="76"/>
        <v>Tech</v>
      </c>
      <c r="M447" t="s">
        <v>38</v>
      </c>
      <c r="N447" t="str">
        <f t="shared" si="77"/>
        <v>Python</v>
      </c>
      <c r="O447" t="str">
        <f t="shared" si="78"/>
        <v>Python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tr">
        <f t="shared" si="79"/>
        <v>Remote Work</v>
      </c>
      <c r="Y447" t="str">
        <f t="shared" si="80"/>
        <v>Remote Work</v>
      </c>
      <c r="Z447" t="s">
        <v>69</v>
      </c>
      <c r="AA447">
        <v>35</v>
      </c>
      <c r="AB447" t="s">
        <v>113</v>
      </c>
      <c r="AC447" t="str">
        <f t="shared" si="81"/>
        <v>United Kingdom</v>
      </c>
      <c r="AD447" t="str">
        <f t="shared" si="82"/>
        <v>United Kingdom</v>
      </c>
      <c r="AE447" t="s">
        <v>244</v>
      </c>
      <c r="AF447" t="s">
        <v>52</v>
      </c>
      <c r="AG447" t="str">
        <f t="shared" si="72"/>
        <v>Asian or Asian American</v>
      </c>
      <c r="AH447" t="str">
        <f t="shared" si="83"/>
        <v>Asian or Asian American</v>
      </c>
    </row>
    <row r="448" spans="1:34" x14ac:dyDescent="0.25">
      <c r="A448" t="s">
        <v>1353</v>
      </c>
      <c r="B448" t="s">
        <v>1103</v>
      </c>
      <c r="C448" t="s">
        <v>1354</v>
      </c>
      <c r="D448" t="s">
        <v>326</v>
      </c>
      <c r="E448" t="s">
        <v>34</v>
      </c>
      <c r="F448" t="str">
        <f t="shared" si="73"/>
        <v>Data Analyst</v>
      </c>
      <c r="G448" t="str">
        <f t="shared" si="74"/>
        <v>Data Analyst</v>
      </c>
      <c r="H448" t="s">
        <v>35</v>
      </c>
      <c r="I448" t="s">
        <v>98</v>
      </c>
      <c r="J448" t="s">
        <v>1355</v>
      </c>
      <c r="K448" t="str">
        <f t="shared" si="75"/>
        <v>Sensors</v>
      </c>
      <c r="L448" t="str">
        <f t="shared" si="76"/>
        <v>Others</v>
      </c>
      <c r="M448" t="s">
        <v>50</v>
      </c>
      <c r="N448" t="str">
        <f t="shared" si="77"/>
        <v>R</v>
      </c>
      <c r="O448" t="str">
        <f t="shared" si="78"/>
        <v>R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tr">
        <f t="shared" si="79"/>
        <v>Better Salary</v>
      </c>
      <c r="Y448" t="str">
        <f t="shared" si="80"/>
        <v>Better Salary</v>
      </c>
      <c r="Z448" t="s">
        <v>41</v>
      </c>
      <c r="AA448">
        <v>26</v>
      </c>
      <c r="AB448" t="s">
        <v>42</v>
      </c>
      <c r="AC448" t="str">
        <f t="shared" si="81"/>
        <v>United States</v>
      </c>
      <c r="AD448" t="str">
        <f t="shared" si="82"/>
        <v>United States</v>
      </c>
      <c r="AE448" t="s">
        <v>241</v>
      </c>
      <c r="AF448" t="s">
        <v>43</v>
      </c>
      <c r="AG448" t="str">
        <f t="shared" si="72"/>
        <v>White or Caucasian</v>
      </c>
      <c r="AH448" t="str">
        <f t="shared" si="83"/>
        <v>White or Caucasian</v>
      </c>
    </row>
    <row r="449" spans="1:34" x14ac:dyDescent="0.25">
      <c r="A449" t="s">
        <v>1356</v>
      </c>
      <c r="B449" t="s">
        <v>1103</v>
      </c>
      <c r="C449" t="s">
        <v>1357</v>
      </c>
      <c r="D449" t="s">
        <v>572</v>
      </c>
      <c r="E449" t="s">
        <v>127</v>
      </c>
      <c r="F449" t="str">
        <f t="shared" si="73"/>
        <v>Student/Looking/None</v>
      </c>
      <c r="G449" t="str">
        <f t="shared" si="74"/>
        <v>Student/Looking/None</v>
      </c>
      <c r="H449" t="s">
        <v>47</v>
      </c>
      <c r="I449" t="s">
        <v>57</v>
      </c>
      <c r="J449" t="s">
        <v>107</v>
      </c>
      <c r="K449" t="str">
        <f t="shared" si="75"/>
        <v>Tech</v>
      </c>
      <c r="L449" t="str">
        <f t="shared" si="76"/>
        <v>Tech</v>
      </c>
      <c r="M449" t="s">
        <v>38</v>
      </c>
      <c r="N449" t="str">
        <f t="shared" si="77"/>
        <v>Python</v>
      </c>
      <c r="O449" t="str">
        <f t="shared" si="78"/>
        <v>Python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tr">
        <f t="shared" si="79"/>
        <v>Remote Work</v>
      </c>
      <c r="Y449" t="str">
        <f t="shared" si="80"/>
        <v>Remote Work</v>
      </c>
      <c r="Z449" t="s">
        <v>41</v>
      </c>
      <c r="AA449">
        <v>22</v>
      </c>
      <c r="AB449" t="s">
        <v>42</v>
      </c>
      <c r="AC449" t="str">
        <f t="shared" si="81"/>
        <v>United States</v>
      </c>
      <c r="AD449" t="str">
        <f t="shared" si="82"/>
        <v>United States</v>
      </c>
      <c r="AE449" t="s">
        <v>241</v>
      </c>
      <c r="AF449" t="s">
        <v>43</v>
      </c>
      <c r="AG449" t="str">
        <f t="shared" si="72"/>
        <v>White or Caucasian</v>
      </c>
      <c r="AH449" t="str">
        <f t="shared" si="83"/>
        <v>White or Caucasian</v>
      </c>
    </row>
    <row r="450" spans="1:34" x14ac:dyDescent="0.25">
      <c r="A450" t="s">
        <v>1358</v>
      </c>
      <c r="B450" t="s">
        <v>1103</v>
      </c>
      <c r="C450" t="s">
        <v>1359</v>
      </c>
      <c r="D450" t="s">
        <v>826</v>
      </c>
      <c r="E450" t="s">
        <v>81</v>
      </c>
      <c r="F450" t="str">
        <f t="shared" si="73"/>
        <v>Data Scientist</v>
      </c>
      <c r="G450" t="str">
        <f t="shared" si="74"/>
        <v>Data Scientist</v>
      </c>
      <c r="H450" t="s">
        <v>35</v>
      </c>
      <c r="I450" t="s">
        <v>91</v>
      </c>
      <c r="J450" t="s">
        <v>182</v>
      </c>
      <c r="K450" t="str">
        <f t="shared" si="75"/>
        <v>Automotive</v>
      </c>
      <c r="L450" t="str">
        <f t="shared" si="76"/>
        <v>Others</v>
      </c>
      <c r="M450" t="s">
        <v>38</v>
      </c>
      <c r="N450" t="str">
        <f t="shared" si="77"/>
        <v>Python</v>
      </c>
      <c r="O450" t="str">
        <f t="shared" si="78"/>
        <v>Python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tr">
        <f t="shared" si="79"/>
        <v>Better Salary</v>
      </c>
      <c r="Y450" t="str">
        <f t="shared" si="80"/>
        <v>Better Salary</v>
      </c>
      <c r="Z450" t="s">
        <v>41</v>
      </c>
      <c r="AA450">
        <v>30</v>
      </c>
      <c r="AB450" t="s">
        <v>51</v>
      </c>
      <c r="AC450" t="str">
        <f t="shared" si="81"/>
        <v>Canada</v>
      </c>
      <c r="AD450" t="str">
        <f t="shared" si="82"/>
        <v>Canada</v>
      </c>
      <c r="AE450" t="s">
        <v>244</v>
      </c>
      <c r="AF450" t="s">
        <v>52</v>
      </c>
      <c r="AG450" t="str">
        <f t="shared" ref="AG450:AG513" si="84">IF(ISNUMBER(SEARCH("other",AF450)),IF(TRIM(MID(AF450, FIND(")",AF450)+1, LEN(AF450)))="", "Other", TRIM(MID(AF450, FIND(":",AF450)+1, LEN(AF450)))),AF450)</f>
        <v>Asian or Asian American</v>
      </c>
      <c r="AH450" t="str">
        <f t="shared" si="83"/>
        <v>Asian or Asian American</v>
      </c>
    </row>
    <row r="451" spans="1:34" x14ac:dyDescent="0.25">
      <c r="A451" t="s">
        <v>1360</v>
      </c>
      <c r="B451" t="s">
        <v>1103</v>
      </c>
      <c r="C451" t="s">
        <v>1361</v>
      </c>
      <c r="D451" t="s">
        <v>1362</v>
      </c>
      <c r="E451" t="s">
        <v>34</v>
      </c>
      <c r="F451" t="str">
        <f t="shared" ref="F451:F514" si="85">IF(ISNUMBER(SEARCH("other",E451)),IF(TRIM(MID(E451, FIND(")",E451)+1, LEN(E451)))="", "Other", TRIM(MID(E451, FIND(":",E451)+1, LEN(E451)))),E451)</f>
        <v>Data Analyst</v>
      </c>
      <c r="G451" t="str">
        <f t="shared" ref="G451:G514" si="86">IF(COUNTIF(F:F,F451)&lt;5,"Others",F451)</f>
        <v>Data Analyst</v>
      </c>
      <c r="H451" t="s">
        <v>35</v>
      </c>
      <c r="I451" t="s">
        <v>98</v>
      </c>
      <c r="J451" t="s">
        <v>559</v>
      </c>
      <c r="K451" t="str">
        <f t="shared" ref="K451:K514" si="87">IF(ISNUMBER(SEARCH("other",J451)),IF(TRIM(MID(J451, FIND(")",J451)+1, LEN(J451)))="", "Other", TRIM(MID(J451, FIND(":",J451)+1, LEN(J451)))),J451)</f>
        <v>Supply Chain</v>
      </c>
      <c r="L451" t="str">
        <f t="shared" ref="L451:L514" si="88">IF(COUNTIF(K:K,K451)&lt;10,"Others",K451)</f>
        <v>Others</v>
      </c>
      <c r="M451" t="s">
        <v>38</v>
      </c>
      <c r="N451" t="str">
        <f t="shared" ref="N451:N514" si="89">IF(ISNUMBER(SEARCH("other",M451)),IF(TRIM(MID(M451, FIND("Other",M451)+1, LEN(M451)))="", "Other", TRIM(MID(M451, FIND(":",M451)+1, LEN(M451)))),M451)</f>
        <v>Python</v>
      </c>
      <c r="O451" t="str">
        <f t="shared" ref="O451:O514" si="90">IF(COUNTIF(N:N,N451)&lt;5,"Others",N451)</f>
        <v>Python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tr">
        <f t="shared" ref="X451:X514" si="91">IF(ISNUMBER(SEARCH("other",W451)),IF(TRIM(MID(W451, FIND(")",W451)+1, LEN(W451)))="", "Other", TRIM(MID(W451, FIND(":",W451)+1, LEN(W451)))),W451)</f>
        <v>Better Salary</v>
      </c>
      <c r="Y451" t="str">
        <f t="shared" ref="Y451:Y514" si="92">IF(COUNTIF(X:X,X451)&lt;5,"Others",X451)</f>
        <v>Better Salary</v>
      </c>
      <c r="Z451" t="s">
        <v>41</v>
      </c>
      <c r="AA451">
        <v>36</v>
      </c>
      <c r="AB451" t="s">
        <v>42</v>
      </c>
      <c r="AC451" t="str">
        <f t="shared" ref="AC451:AC514" si="93">IF(ISNUMBER(SEARCH("other",AB451)),IF(TRIM(MID(AB451, FIND(")",AB451)+1, LEN(AB451)))="", "Other", TRIM(MID(AB451, FIND(":",AB451)+1, LEN(AB451)))),AB451)</f>
        <v>United States</v>
      </c>
      <c r="AD451" t="str">
        <f t="shared" ref="AD451:AD514" si="94">IF(COUNTIF(AC:AC,AC451)&lt;5,"Others",AC451)</f>
        <v>United States</v>
      </c>
      <c r="AE451" t="s">
        <v>244</v>
      </c>
      <c r="AF451" t="s">
        <v>43</v>
      </c>
      <c r="AG451" t="str">
        <f t="shared" si="84"/>
        <v>White or Caucasian</v>
      </c>
      <c r="AH451" t="str">
        <f t="shared" ref="AH451:AH514" si="95">IF(COUNTIF(AG:AG,AG451)&lt;5,"Others",AG451)</f>
        <v>White or Caucasian</v>
      </c>
    </row>
    <row r="452" spans="1:34" x14ac:dyDescent="0.25">
      <c r="A452" t="s">
        <v>1363</v>
      </c>
      <c r="B452" t="s">
        <v>1103</v>
      </c>
      <c r="C452" t="s">
        <v>1364</v>
      </c>
      <c r="D452" t="s">
        <v>1365</v>
      </c>
      <c r="E452" t="s">
        <v>34</v>
      </c>
      <c r="F452" t="str">
        <f t="shared" si="85"/>
        <v>Data Analyst</v>
      </c>
      <c r="G452" t="str">
        <f t="shared" si="86"/>
        <v>Data Analyst</v>
      </c>
      <c r="H452" t="s">
        <v>35</v>
      </c>
      <c r="I452" t="s">
        <v>98</v>
      </c>
      <c r="J452" t="s">
        <v>37</v>
      </c>
      <c r="K452" t="str">
        <f t="shared" si="87"/>
        <v>Healthcare</v>
      </c>
      <c r="L452" t="str">
        <f t="shared" si="88"/>
        <v>Healthcare</v>
      </c>
      <c r="M452" t="s">
        <v>50</v>
      </c>
      <c r="N452" t="str">
        <f t="shared" si="89"/>
        <v>R</v>
      </c>
      <c r="O452" t="str">
        <f t="shared" si="90"/>
        <v>R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tr">
        <f t="shared" si="91"/>
        <v>All of the above</v>
      </c>
      <c r="Y452" t="str">
        <f t="shared" si="92"/>
        <v>Others</v>
      </c>
      <c r="Z452" t="s">
        <v>69</v>
      </c>
      <c r="AA452">
        <v>30</v>
      </c>
      <c r="AB452" t="s">
        <v>42</v>
      </c>
      <c r="AC452" t="str">
        <f t="shared" si="93"/>
        <v>United States</v>
      </c>
      <c r="AD452" t="str">
        <f t="shared" si="94"/>
        <v>United States</v>
      </c>
      <c r="AE452" t="s">
        <v>244</v>
      </c>
      <c r="AF452" t="s">
        <v>43</v>
      </c>
      <c r="AG452" t="str">
        <f t="shared" si="84"/>
        <v>White or Caucasian</v>
      </c>
      <c r="AH452" t="str">
        <f t="shared" si="95"/>
        <v>White or Caucasian</v>
      </c>
    </row>
    <row r="453" spans="1:34" x14ac:dyDescent="0.25">
      <c r="A453" t="s">
        <v>1367</v>
      </c>
      <c r="B453" t="s">
        <v>1103</v>
      </c>
      <c r="C453" t="s">
        <v>1368</v>
      </c>
      <c r="D453" t="s">
        <v>139</v>
      </c>
      <c r="E453" t="s">
        <v>81</v>
      </c>
      <c r="F453" t="str">
        <f t="shared" si="85"/>
        <v>Data Scientist</v>
      </c>
      <c r="G453" t="str">
        <f t="shared" si="86"/>
        <v>Data Scientist</v>
      </c>
      <c r="H453" t="s">
        <v>35</v>
      </c>
      <c r="I453" t="s">
        <v>36</v>
      </c>
      <c r="J453" t="s">
        <v>49</v>
      </c>
      <c r="K453" t="str">
        <f t="shared" si="87"/>
        <v>Finance</v>
      </c>
      <c r="L453" t="str">
        <f t="shared" si="88"/>
        <v>Finance</v>
      </c>
      <c r="M453" t="s">
        <v>38</v>
      </c>
      <c r="N453" t="str">
        <f t="shared" si="89"/>
        <v>Python</v>
      </c>
      <c r="O453" t="str">
        <f t="shared" si="90"/>
        <v>Python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tr">
        <f t="shared" si="91"/>
        <v>Remote Work</v>
      </c>
      <c r="Y453" t="str">
        <f t="shared" si="92"/>
        <v>Remote Work</v>
      </c>
      <c r="Z453" t="s">
        <v>41</v>
      </c>
      <c r="AA453">
        <v>29</v>
      </c>
      <c r="AB453" t="s">
        <v>42</v>
      </c>
      <c r="AC453" t="str">
        <f t="shared" si="93"/>
        <v>United States</v>
      </c>
      <c r="AD453" t="str">
        <f t="shared" si="94"/>
        <v>United States</v>
      </c>
      <c r="AE453" t="s">
        <v>241</v>
      </c>
      <c r="AF453" t="s">
        <v>52</v>
      </c>
      <c r="AG453" t="str">
        <f t="shared" si="84"/>
        <v>Asian or Asian American</v>
      </c>
      <c r="AH453" t="str">
        <f t="shared" si="95"/>
        <v>Asian or Asian American</v>
      </c>
    </row>
    <row r="454" spans="1:34" x14ac:dyDescent="0.25">
      <c r="A454" t="s">
        <v>1369</v>
      </c>
      <c r="B454" t="s">
        <v>1103</v>
      </c>
      <c r="C454" t="s">
        <v>1083</v>
      </c>
      <c r="D454" t="s">
        <v>1370</v>
      </c>
      <c r="E454" t="s">
        <v>1371</v>
      </c>
      <c r="F454" t="str">
        <f t="shared" si="85"/>
        <v>Business Intelligence Analyst</v>
      </c>
      <c r="G454" t="str">
        <f t="shared" si="86"/>
        <v>Others</v>
      </c>
      <c r="H454" t="s">
        <v>35</v>
      </c>
      <c r="I454" t="s">
        <v>98</v>
      </c>
      <c r="J454" t="s">
        <v>1372</v>
      </c>
      <c r="K454" t="str">
        <f t="shared" si="87"/>
        <v>Professional Services</v>
      </c>
      <c r="L454" t="str">
        <f t="shared" si="88"/>
        <v>Others</v>
      </c>
      <c r="M454" t="s">
        <v>50</v>
      </c>
      <c r="N454" t="str">
        <f t="shared" si="89"/>
        <v>R</v>
      </c>
      <c r="O454" t="str">
        <f t="shared" si="90"/>
        <v>R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tr">
        <f t="shared" si="91"/>
        <v>Data Maturity</v>
      </c>
      <c r="Y454" t="str">
        <f t="shared" si="92"/>
        <v>Others</v>
      </c>
      <c r="Z454" t="s">
        <v>41</v>
      </c>
      <c r="AA454">
        <v>30</v>
      </c>
      <c r="AB454" t="s">
        <v>42</v>
      </c>
      <c r="AC454" t="str">
        <f t="shared" si="93"/>
        <v>United States</v>
      </c>
      <c r="AD454" t="str">
        <f t="shared" si="94"/>
        <v>United States</v>
      </c>
      <c r="AE454" t="s">
        <v>244</v>
      </c>
      <c r="AF454" t="s">
        <v>43</v>
      </c>
      <c r="AG454" t="str">
        <f t="shared" si="84"/>
        <v>White or Caucasian</v>
      </c>
      <c r="AH454" t="str">
        <f t="shared" si="95"/>
        <v>White or Caucasian</v>
      </c>
    </row>
    <row r="455" spans="1:34" x14ac:dyDescent="0.25">
      <c r="A455" t="s">
        <v>1374</v>
      </c>
      <c r="B455" t="s">
        <v>1103</v>
      </c>
      <c r="C455" t="s">
        <v>1375</v>
      </c>
      <c r="D455" t="s">
        <v>287</v>
      </c>
      <c r="E455" t="s">
        <v>56</v>
      </c>
      <c r="F455" t="str">
        <f t="shared" si="85"/>
        <v>Data Engineer</v>
      </c>
      <c r="G455" t="str">
        <f t="shared" si="86"/>
        <v>Data Engineer</v>
      </c>
      <c r="H455" t="s">
        <v>47</v>
      </c>
      <c r="I455" t="s">
        <v>48</v>
      </c>
      <c r="J455" t="s">
        <v>49</v>
      </c>
      <c r="K455" t="str">
        <f t="shared" si="87"/>
        <v>Finance</v>
      </c>
      <c r="L455" t="str">
        <f t="shared" si="88"/>
        <v>Finance</v>
      </c>
      <c r="M455" t="s">
        <v>38</v>
      </c>
      <c r="N455" t="str">
        <f t="shared" si="89"/>
        <v>Python</v>
      </c>
      <c r="O455" t="str">
        <f t="shared" si="90"/>
        <v>Python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tr">
        <f t="shared" si="91"/>
        <v>Better Salary</v>
      </c>
      <c r="Y455" t="str">
        <f t="shared" si="92"/>
        <v>Better Salary</v>
      </c>
      <c r="Z455" t="s">
        <v>41</v>
      </c>
      <c r="AA455">
        <v>24</v>
      </c>
      <c r="AB455" t="s">
        <v>42</v>
      </c>
      <c r="AC455" t="str">
        <f t="shared" si="93"/>
        <v>United States</v>
      </c>
      <c r="AD455" t="str">
        <f t="shared" si="94"/>
        <v>United States</v>
      </c>
      <c r="AE455" t="s">
        <v>241</v>
      </c>
      <c r="AF455" t="s">
        <v>62</v>
      </c>
      <c r="AG455" t="str">
        <f t="shared" si="84"/>
        <v>Black or African American</v>
      </c>
      <c r="AH455" t="str">
        <f t="shared" si="95"/>
        <v>Black or African American</v>
      </c>
    </row>
    <row r="456" spans="1:34" x14ac:dyDescent="0.25">
      <c r="A456" t="s">
        <v>1376</v>
      </c>
      <c r="B456" t="s">
        <v>1377</v>
      </c>
      <c r="C456" t="s">
        <v>1378</v>
      </c>
      <c r="D456" t="s">
        <v>175</v>
      </c>
      <c r="E456" t="s">
        <v>56</v>
      </c>
      <c r="F456" t="str">
        <f t="shared" si="85"/>
        <v>Data Engineer</v>
      </c>
      <c r="G456" t="str">
        <f t="shared" si="86"/>
        <v>Data Engineer</v>
      </c>
      <c r="H456" t="s">
        <v>35</v>
      </c>
      <c r="I456" t="s">
        <v>1188</v>
      </c>
      <c r="J456" t="s">
        <v>107</v>
      </c>
      <c r="K456" t="str">
        <f t="shared" si="87"/>
        <v>Tech</v>
      </c>
      <c r="L456" t="str">
        <f t="shared" si="88"/>
        <v>Tech</v>
      </c>
      <c r="M456" t="s">
        <v>322</v>
      </c>
      <c r="N456" t="str">
        <f t="shared" si="89"/>
        <v>Sql</v>
      </c>
      <c r="O456" t="str">
        <f t="shared" si="90"/>
        <v>Sql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tr">
        <f t="shared" si="91"/>
        <v>Better Salary</v>
      </c>
      <c r="Y456" t="str">
        <f t="shared" si="92"/>
        <v>Better Salary</v>
      </c>
      <c r="Z456" t="s">
        <v>41</v>
      </c>
      <c r="AA456">
        <v>33</v>
      </c>
      <c r="AB456" t="s">
        <v>42</v>
      </c>
      <c r="AC456" t="str">
        <f t="shared" si="93"/>
        <v>United States</v>
      </c>
      <c r="AD456" t="str">
        <f t="shared" si="94"/>
        <v>United States</v>
      </c>
      <c r="AE456" t="s">
        <v>241</v>
      </c>
      <c r="AF456" t="s">
        <v>52</v>
      </c>
      <c r="AG456" t="str">
        <f t="shared" si="84"/>
        <v>Asian or Asian American</v>
      </c>
      <c r="AH456" t="str">
        <f t="shared" si="95"/>
        <v>Asian or Asian American</v>
      </c>
    </row>
    <row r="457" spans="1:34" x14ac:dyDescent="0.25">
      <c r="A457" t="s">
        <v>1379</v>
      </c>
      <c r="B457" t="s">
        <v>1377</v>
      </c>
      <c r="C457" t="s">
        <v>1380</v>
      </c>
      <c r="D457" t="s">
        <v>175</v>
      </c>
      <c r="E457" t="s">
        <v>34</v>
      </c>
      <c r="F457" t="str">
        <f t="shared" si="85"/>
        <v>Data Analyst</v>
      </c>
      <c r="G457" t="str">
        <f t="shared" si="86"/>
        <v>Data Analyst</v>
      </c>
      <c r="H457" t="s">
        <v>47</v>
      </c>
      <c r="I457" t="s">
        <v>36</v>
      </c>
      <c r="J457" t="s">
        <v>1381</v>
      </c>
      <c r="K457" t="str">
        <f t="shared" si="87"/>
        <v>Food and bece</v>
      </c>
      <c r="L457" t="str">
        <f t="shared" si="88"/>
        <v>Others</v>
      </c>
      <c r="M457" t="s">
        <v>38</v>
      </c>
      <c r="N457" t="str">
        <f t="shared" si="89"/>
        <v>Python</v>
      </c>
      <c r="O457" t="str">
        <f t="shared" si="90"/>
        <v>Python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tr">
        <f t="shared" si="91"/>
        <v>Better Salary</v>
      </c>
      <c r="Y457" t="str">
        <f t="shared" si="92"/>
        <v>Better Salary</v>
      </c>
      <c r="Z457" t="s">
        <v>69</v>
      </c>
      <c r="AA457">
        <v>42</v>
      </c>
      <c r="AB457" t="s">
        <v>42</v>
      </c>
      <c r="AC457" t="str">
        <f t="shared" si="93"/>
        <v>United States</v>
      </c>
      <c r="AD457" t="str">
        <f t="shared" si="94"/>
        <v>United States</v>
      </c>
      <c r="AE457" t="s">
        <v>241</v>
      </c>
      <c r="AF457" t="s">
        <v>43</v>
      </c>
      <c r="AG457" t="str">
        <f t="shared" si="84"/>
        <v>White or Caucasian</v>
      </c>
      <c r="AH457" t="str">
        <f t="shared" si="95"/>
        <v>White or Caucasian</v>
      </c>
    </row>
    <row r="458" spans="1:34" x14ac:dyDescent="0.25">
      <c r="A458" t="s">
        <v>1382</v>
      </c>
      <c r="B458" t="s">
        <v>1377</v>
      </c>
      <c r="C458" t="s">
        <v>1383</v>
      </c>
      <c r="D458" t="s">
        <v>735</v>
      </c>
      <c r="E458" t="s">
        <v>34</v>
      </c>
      <c r="F458" t="str">
        <f t="shared" si="85"/>
        <v>Data Analyst</v>
      </c>
      <c r="G458" t="str">
        <f t="shared" si="86"/>
        <v>Data Analyst</v>
      </c>
      <c r="H458" t="s">
        <v>35</v>
      </c>
      <c r="I458" t="s">
        <v>48</v>
      </c>
      <c r="J458" t="s">
        <v>37</v>
      </c>
      <c r="K458" t="str">
        <f t="shared" si="87"/>
        <v>Healthcare</v>
      </c>
      <c r="L458" t="str">
        <f t="shared" si="88"/>
        <v>Healthcare</v>
      </c>
      <c r="M458" t="s">
        <v>38</v>
      </c>
      <c r="N458" t="str">
        <f t="shared" si="89"/>
        <v>Python</v>
      </c>
      <c r="O458" t="str">
        <f t="shared" si="90"/>
        <v>Python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tr">
        <f t="shared" si="91"/>
        <v>Better Salary</v>
      </c>
      <c r="Y458" t="str">
        <f t="shared" si="92"/>
        <v>Better Salary</v>
      </c>
      <c r="Z458" t="s">
        <v>69</v>
      </c>
      <c r="AA458">
        <v>36</v>
      </c>
      <c r="AB458" t="s">
        <v>42</v>
      </c>
      <c r="AC458" t="str">
        <f t="shared" si="93"/>
        <v>United States</v>
      </c>
      <c r="AD458" t="str">
        <f t="shared" si="94"/>
        <v>United States</v>
      </c>
      <c r="AE458" t="s">
        <v>241</v>
      </c>
      <c r="AF458" t="s">
        <v>43</v>
      </c>
      <c r="AG458" t="str">
        <f t="shared" si="84"/>
        <v>White or Caucasian</v>
      </c>
      <c r="AH458" t="str">
        <f t="shared" si="95"/>
        <v>White or Caucasian</v>
      </c>
    </row>
    <row r="459" spans="1:34" x14ac:dyDescent="0.25">
      <c r="A459" t="s">
        <v>1384</v>
      </c>
      <c r="B459" t="s">
        <v>1377</v>
      </c>
      <c r="C459" t="s">
        <v>1385</v>
      </c>
      <c r="D459" t="s">
        <v>826</v>
      </c>
      <c r="E459" t="s">
        <v>34</v>
      </c>
      <c r="F459" t="str">
        <f t="shared" si="85"/>
        <v>Data Analyst</v>
      </c>
      <c r="G459" t="str">
        <f t="shared" si="86"/>
        <v>Data Analyst</v>
      </c>
      <c r="H459" t="s">
        <v>35</v>
      </c>
      <c r="I459" t="s">
        <v>48</v>
      </c>
      <c r="J459" t="s">
        <v>1386</v>
      </c>
      <c r="K459" t="str">
        <f t="shared" si="87"/>
        <v>Research (non-clincial)</v>
      </c>
      <c r="L459" t="str">
        <f t="shared" si="88"/>
        <v>Others</v>
      </c>
      <c r="M459" t="s">
        <v>38</v>
      </c>
      <c r="N459" t="str">
        <f t="shared" si="89"/>
        <v>Python</v>
      </c>
      <c r="O459" t="str">
        <f t="shared" si="90"/>
        <v>Python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tr">
        <f t="shared" si="91"/>
        <v>Better Salary</v>
      </c>
      <c r="Y459" t="str">
        <f t="shared" si="92"/>
        <v>Better Salary</v>
      </c>
      <c r="Z459" t="s">
        <v>41</v>
      </c>
      <c r="AA459">
        <v>27</v>
      </c>
      <c r="AB459" t="s">
        <v>42</v>
      </c>
      <c r="AC459" t="str">
        <f t="shared" si="93"/>
        <v>United States</v>
      </c>
      <c r="AD459" t="str">
        <f t="shared" si="94"/>
        <v>United States</v>
      </c>
      <c r="AE459" t="s">
        <v>241</v>
      </c>
      <c r="AF459" t="s">
        <v>43</v>
      </c>
      <c r="AG459" t="str">
        <f t="shared" si="84"/>
        <v>White or Caucasian</v>
      </c>
      <c r="AH459" t="str">
        <f t="shared" si="95"/>
        <v>White or Caucasian</v>
      </c>
    </row>
    <row r="460" spans="1:34" x14ac:dyDescent="0.25">
      <c r="A460" t="s">
        <v>1387</v>
      </c>
      <c r="B460" t="s">
        <v>1377</v>
      </c>
      <c r="C460" t="s">
        <v>1388</v>
      </c>
      <c r="D460" t="s">
        <v>139</v>
      </c>
      <c r="E460" t="s">
        <v>34</v>
      </c>
      <c r="F460" t="str">
        <f t="shared" si="85"/>
        <v>Data Analyst</v>
      </c>
      <c r="G460" t="str">
        <f t="shared" si="86"/>
        <v>Data Analyst</v>
      </c>
      <c r="H460" t="s">
        <v>47</v>
      </c>
      <c r="I460" t="s">
        <v>57</v>
      </c>
      <c r="J460" t="s">
        <v>107</v>
      </c>
      <c r="K460" t="str">
        <f t="shared" si="87"/>
        <v>Tech</v>
      </c>
      <c r="L460" t="str">
        <f t="shared" si="88"/>
        <v>Tech</v>
      </c>
      <c r="M460" t="s">
        <v>38</v>
      </c>
      <c r="N460" t="str">
        <f t="shared" si="89"/>
        <v>Python</v>
      </c>
      <c r="O460" t="str">
        <f t="shared" si="90"/>
        <v>Python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tr">
        <f t="shared" si="91"/>
        <v>Opportunity to learn</v>
      </c>
      <c r="Y460" t="str">
        <f t="shared" si="92"/>
        <v>Others</v>
      </c>
      <c r="Z460" t="s">
        <v>69</v>
      </c>
      <c r="AA460">
        <v>21</v>
      </c>
      <c r="AB460" t="s">
        <v>151</v>
      </c>
      <c r="AC460" t="str">
        <f t="shared" si="93"/>
        <v>India</v>
      </c>
      <c r="AD460" t="str">
        <f t="shared" si="94"/>
        <v>India</v>
      </c>
      <c r="AE460" t="s">
        <v>241</v>
      </c>
      <c r="AF460" t="s">
        <v>52</v>
      </c>
      <c r="AG460" t="str">
        <f t="shared" si="84"/>
        <v>Asian or Asian American</v>
      </c>
      <c r="AH460" t="str">
        <f t="shared" si="95"/>
        <v>Asian or Asian American</v>
      </c>
    </row>
    <row r="461" spans="1:34" x14ac:dyDescent="0.25">
      <c r="A461" t="s">
        <v>1390</v>
      </c>
      <c r="B461" t="s">
        <v>1377</v>
      </c>
      <c r="C461" t="s">
        <v>1391</v>
      </c>
      <c r="D461" t="s">
        <v>619</v>
      </c>
      <c r="E461" t="s">
        <v>34</v>
      </c>
      <c r="F461" t="str">
        <f t="shared" si="85"/>
        <v>Data Analyst</v>
      </c>
      <c r="G461" t="str">
        <f t="shared" si="86"/>
        <v>Data Analyst</v>
      </c>
      <c r="H461" t="s">
        <v>35</v>
      </c>
      <c r="I461" t="s">
        <v>48</v>
      </c>
      <c r="J461" t="s">
        <v>37</v>
      </c>
      <c r="K461" t="str">
        <f t="shared" si="87"/>
        <v>Healthcare</v>
      </c>
      <c r="L461" t="str">
        <f t="shared" si="88"/>
        <v>Healthcare</v>
      </c>
      <c r="M461" t="s">
        <v>38</v>
      </c>
      <c r="N461" t="str">
        <f t="shared" si="89"/>
        <v>Python</v>
      </c>
      <c r="O461" t="str">
        <f t="shared" si="90"/>
        <v>Python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tr">
        <f t="shared" si="91"/>
        <v>Remote Work</v>
      </c>
      <c r="Y461" t="str">
        <f t="shared" si="92"/>
        <v>Remote Work</v>
      </c>
      <c r="Z461" t="s">
        <v>69</v>
      </c>
      <c r="AA461">
        <v>34</v>
      </c>
      <c r="AB461" t="s">
        <v>562</v>
      </c>
      <c r="AC461" t="str">
        <f t="shared" si="93"/>
        <v>Israel</v>
      </c>
      <c r="AD461" t="str">
        <f t="shared" si="94"/>
        <v>Others</v>
      </c>
      <c r="AE461" t="s">
        <v>244</v>
      </c>
      <c r="AF461" t="s">
        <v>43</v>
      </c>
      <c r="AG461" t="str">
        <f t="shared" si="84"/>
        <v>White or Caucasian</v>
      </c>
      <c r="AH461" t="str">
        <f t="shared" si="95"/>
        <v>White or Caucasian</v>
      </c>
    </row>
    <row r="462" spans="1:34" x14ac:dyDescent="0.25">
      <c r="A462" t="s">
        <v>1392</v>
      </c>
      <c r="B462" t="s">
        <v>1377</v>
      </c>
      <c r="C462" t="s">
        <v>1393</v>
      </c>
      <c r="D462" t="s">
        <v>158</v>
      </c>
      <c r="E462" t="s">
        <v>127</v>
      </c>
      <c r="F462" t="str">
        <f t="shared" si="85"/>
        <v>Student/Looking/None</v>
      </c>
      <c r="G462" t="str">
        <f t="shared" si="86"/>
        <v>Student/Looking/None</v>
      </c>
      <c r="H462" t="s">
        <v>47</v>
      </c>
      <c r="I462" t="s">
        <v>57</v>
      </c>
      <c r="J462" t="s">
        <v>112</v>
      </c>
      <c r="K462" t="str">
        <f t="shared" si="87"/>
        <v>Education</v>
      </c>
      <c r="L462" t="str">
        <f t="shared" si="88"/>
        <v>Education</v>
      </c>
      <c r="M462" t="s">
        <v>38</v>
      </c>
      <c r="N462" t="str">
        <f t="shared" si="89"/>
        <v>Python</v>
      </c>
      <c r="O462" t="str">
        <f t="shared" si="90"/>
        <v>Python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tr">
        <f t="shared" si="91"/>
        <v>Better Salary</v>
      </c>
      <c r="Y462" t="str">
        <f t="shared" si="92"/>
        <v>Better Salary</v>
      </c>
      <c r="Z462" t="s">
        <v>41</v>
      </c>
      <c r="AA462">
        <v>27</v>
      </c>
      <c r="AB462" t="s">
        <v>323</v>
      </c>
      <c r="AC462" t="str">
        <f t="shared" si="93"/>
        <v>Netherlands</v>
      </c>
      <c r="AD462" t="str">
        <f t="shared" si="94"/>
        <v>Netherlands</v>
      </c>
      <c r="AE462" t="s">
        <v>241</v>
      </c>
      <c r="AF462" t="s">
        <v>43</v>
      </c>
      <c r="AG462" t="str">
        <f t="shared" si="84"/>
        <v>White or Caucasian</v>
      </c>
      <c r="AH462" t="str">
        <f t="shared" si="95"/>
        <v>White or Caucasian</v>
      </c>
    </row>
    <row r="463" spans="1:34" x14ac:dyDescent="0.25">
      <c r="A463" t="s">
        <v>1394</v>
      </c>
      <c r="B463" t="s">
        <v>1377</v>
      </c>
      <c r="C463" t="s">
        <v>1395</v>
      </c>
      <c r="D463" t="s">
        <v>258</v>
      </c>
      <c r="E463" t="s">
        <v>1396</v>
      </c>
      <c r="F463" t="str">
        <f t="shared" si="85"/>
        <v>BI consultant</v>
      </c>
      <c r="G463" t="str">
        <f t="shared" si="86"/>
        <v>Others</v>
      </c>
      <c r="H463" t="s">
        <v>35</v>
      </c>
      <c r="I463" t="s">
        <v>57</v>
      </c>
      <c r="J463" t="s">
        <v>107</v>
      </c>
      <c r="K463" t="str">
        <f t="shared" si="87"/>
        <v>Tech</v>
      </c>
      <c r="L463" t="str">
        <f t="shared" si="88"/>
        <v>Tech</v>
      </c>
      <c r="M463" t="s">
        <v>38</v>
      </c>
      <c r="N463" t="str">
        <f t="shared" si="89"/>
        <v>Python</v>
      </c>
      <c r="O463" t="str">
        <f t="shared" si="90"/>
        <v>Python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tr">
        <f t="shared" si="91"/>
        <v>Good Culture</v>
      </c>
      <c r="Y463" t="str">
        <f t="shared" si="92"/>
        <v>Good Culture</v>
      </c>
      <c r="Z463" t="s">
        <v>41</v>
      </c>
      <c r="AA463">
        <v>27</v>
      </c>
      <c r="AB463" t="s">
        <v>293</v>
      </c>
      <c r="AC463" t="str">
        <f t="shared" si="93"/>
        <v>France</v>
      </c>
      <c r="AD463" t="str">
        <f t="shared" si="94"/>
        <v>Others</v>
      </c>
      <c r="AE463" t="s">
        <v>244</v>
      </c>
      <c r="AF463" t="s">
        <v>43</v>
      </c>
      <c r="AG463" t="str">
        <f t="shared" si="84"/>
        <v>White or Caucasian</v>
      </c>
      <c r="AH463" t="str">
        <f t="shared" si="95"/>
        <v>White or Caucasian</v>
      </c>
    </row>
    <row r="464" spans="1:34" x14ac:dyDescent="0.25">
      <c r="A464" t="s">
        <v>1397</v>
      </c>
      <c r="B464" t="s">
        <v>1377</v>
      </c>
      <c r="C464" t="s">
        <v>1398</v>
      </c>
      <c r="D464" t="s">
        <v>740</v>
      </c>
      <c r="E464" t="s">
        <v>127</v>
      </c>
      <c r="F464" t="str">
        <f t="shared" si="85"/>
        <v>Student/Looking/None</v>
      </c>
      <c r="G464" t="str">
        <f t="shared" si="86"/>
        <v>Student/Looking/None</v>
      </c>
      <c r="H464" t="s">
        <v>47</v>
      </c>
      <c r="I464" t="s">
        <v>57</v>
      </c>
      <c r="J464" t="s">
        <v>112</v>
      </c>
      <c r="K464" t="str">
        <f t="shared" si="87"/>
        <v>Education</v>
      </c>
      <c r="L464" t="str">
        <f t="shared" si="88"/>
        <v>Education</v>
      </c>
      <c r="M464" t="s">
        <v>50</v>
      </c>
      <c r="N464" t="str">
        <f t="shared" si="89"/>
        <v>R</v>
      </c>
      <c r="O464" t="str">
        <f t="shared" si="90"/>
        <v>R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tr">
        <f t="shared" si="91"/>
        <v>Good Work/Life Balance</v>
      </c>
      <c r="Y464" t="str">
        <f t="shared" si="92"/>
        <v>Good Work/Life Balance</v>
      </c>
      <c r="Z464" t="s">
        <v>41</v>
      </c>
      <c r="AA464">
        <v>30</v>
      </c>
      <c r="AB464" t="s">
        <v>136</v>
      </c>
      <c r="AC464" t="str">
        <f t="shared" si="93"/>
        <v>Kenya</v>
      </c>
      <c r="AD464" t="str">
        <f t="shared" si="94"/>
        <v>Kenya</v>
      </c>
      <c r="AE464" t="s">
        <v>266</v>
      </c>
      <c r="AF464" t="s">
        <v>652</v>
      </c>
      <c r="AG464" t="str">
        <f t="shared" si="84"/>
        <v>African</v>
      </c>
      <c r="AH464" t="str">
        <f t="shared" si="95"/>
        <v>African</v>
      </c>
    </row>
    <row r="465" spans="1:34" x14ac:dyDescent="0.25">
      <c r="A465" t="s">
        <v>1399</v>
      </c>
      <c r="B465" t="s">
        <v>1377</v>
      </c>
      <c r="C465" t="s">
        <v>1400</v>
      </c>
      <c r="D465" t="s">
        <v>97</v>
      </c>
      <c r="E465" t="s">
        <v>34</v>
      </c>
      <c r="F465" t="str">
        <f t="shared" si="85"/>
        <v>Data Analyst</v>
      </c>
      <c r="G465" t="str">
        <f t="shared" si="86"/>
        <v>Data Analyst</v>
      </c>
      <c r="H465" t="s">
        <v>35</v>
      </c>
      <c r="I465" t="s">
        <v>98</v>
      </c>
      <c r="J465" t="s">
        <v>1401</v>
      </c>
      <c r="K465" t="str">
        <f t="shared" si="87"/>
        <v>Gover</v>
      </c>
      <c r="L465" t="str">
        <f t="shared" si="88"/>
        <v>Others</v>
      </c>
      <c r="M465" t="s">
        <v>88</v>
      </c>
      <c r="N465" t="str">
        <f t="shared" si="89"/>
        <v>SQL</v>
      </c>
      <c r="O465" t="str">
        <f t="shared" si="90"/>
        <v>SQL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tr">
        <f t="shared" si="91"/>
        <v>Better Salary</v>
      </c>
      <c r="Y465" t="str">
        <f t="shared" si="92"/>
        <v>Better Salary</v>
      </c>
      <c r="Z465" t="s">
        <v>69</v>
      </c>
      <c r="AA465">
        <v>33</v>
      </c>
      <c r="AB465" t="s">
        <v>42</v>
      </c>
      <c r="AC465" t="str">
        <f t="shared" si="93"/>
        <v>United States</v>
      </c>
      <c r="AD465" t="str">
        <f t="shared" si="94"/>
        <v>United States</v>
      </c>
      <c r="AE465" t="s">
        <v>241</v>
      </c>
      <c r="AF465" t="s">
        <v>43</v>
      </c>
      <c r="AG465" t="str">
        <f t="shared" si="84"/>
        <v>White or Caucasian</v>
      </c>
      <c r="AH465" t="str">
        <f t="shared" si="95"/>
        <v>White or Caucasian</v>
      </c>
    </row>
    <row r="466" spans="1:34" x14ac:dyDescent="0.25">
      <c r="A466" t="s">
        <v>1402</v>
      </c>
      <c r="B466" t="s">
        <v>1377</v>
      </c>
      <c r="C466" t="s">
        <v>1403</v>
      </c>
      <c r="D466" t="s">
        <v>233</v>
      </c>
      <c r="E466" t="s">
        <v>34</v>
      </c>
      <c r="F466" t="str">
        <f t="shared" si="85"/>
        <v>Data Analyst</v>
      </c>
      <c r="G466" t="str">
        <f t="shared" si="86"/>
        <v>Data Analyst</v>
      </c>
      <c r="H466" t="s">
        <v>35</v>
      </c>
      <c r="I466" t="s">
        <v>91</v>
      </c>
      <c r="J466" t="s">
        <v>49</v>
      </c>
      <c r="K466" t="str">
        <f t="shared" si="87"/>
        <v>Finance</v>
      </c>
      <c r="L466" t="str">
        <f t="shared" si="88"/>
        <v>Finance</v>
      </c>
      <c r="M466" t="s">
        <v>38</v>
      </c>
      <c r="N466" t="str">
        <f t="shared" si="89"/>
        <v>Python</v>
      </c>
      <c r="O466" t="str">
        <f t="shared" si="90"/>
        <v>Python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tr">
        <f t="shared" si="91"/>
        <v>Good Culture</v>
      </c>
      <c r="Y466" t="str">
        <f t="shared" si="92"/>
        <v>Good Culture</v>
      </c>
      <c r="Z466" t="s">
        <v>41</v>
      </c>
      <c r="AA466">
        <v>47</v>
      </c>
      <c r="AB466" t="s">
        <v>151</v>
      </c>
      <c r="AC466" t="str">
        <f t="shared" si="93"/>
        <v>India</v>
      </c>
      <c r="AD466" t="str">
        <f t="shared" si="94"/>
        <v>India</v>
      </c>
      <c r="AE466" t="s">
        <v>244</v>
      </c>
      <c r="AF466" t="s">
        <v>1404</v>
      </c>
      <c r="AG466" t="str">
        <f t="shared" si="84"/>
        <v>American Indian or Alaska Native</v>
      </c>
      <c r="AH466" t="str">
        <f t="shared" si="95"/>
        <v>Others</v>
      </c>
    </row>
    <row r="467" spans="1:34" x14ac:dyDescent="0.25">
      <c r="A467" t="s">
        <v>1405</v>
      </c>
      <c r="B467" t="s">
        <v>1377</v>
      </c>
      <c r="C467" t="s">
        <v>1406</v>
      </c>
      <c r="D467" t="s">
        <v>161</v>
      </c>
      <c r="E467" t="s">
        <v>34</v>
      </c>
      <c r="F467" t="str">
        <f t="shared" si="85"/>
        <v>Data Analyst</v>
      </c>
      <c r="G467" t="str">
        <f t="shared" si="86"/>
        <v>Data Analyst</v>
      </c>
      <c r="H467" t="s">
        <v>35</v>
      </c>
      <c r="I467" t="s">
        <v>98</v>
      </c>
      <c r="J467" t="s">
        <v>87</v>
      </c>
      <c r="K467" t="str">
        <f t="shared" si="87"/>
        <v>Retail</v>
      </c>
      <c r="L467" t="str">
        <f t="shared" si="88"/>
        <v>Retail</v>
      </c>
      <c r="M467" t="s">
        <v>88</v>
      </c>
      <c r="N467" t="str">
        <f t="shared" si="89"/>
        <v>SQL</v>
      </c>
      <c r="O467" t="str">
        <f t="shared" si="90"/>
        <v>SQL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tr">
        <f t="shared" si="91"/>
        <v>Better work &amp; remote salary</v>
      </c>
      <c r="Y467" t="str">
        <f t="shared" si="92"/>
        <v>Others</v>
      </c>
      <c r="Z467" t="s">
        <v>41</v>
      </c>
      <c r="AA467">
        <v>27</v>
      </c>
      <c r="AB467" t="s">
        <v>42</v>
      </c>
      <c r="AC467" t="str">
        <f t="shared" si="93"/>
        <v>United States</v>
      </c>
      <c r="AD467" t="str">
        <f t="shared" si="94"/>
        <v>United States</v>
      </c>
      <c r="AE467" t="s">
        <v>244</v>
      </c>
      <c r="AF467" t="s">
        <v>52</v>
      </c>
      <c r="AG467" t="str">
        <f t="shared" si="84"/>
        <v>Asian or Asian American</v>
      </c>
      <c r="AH467" t="str">
        <f t="shared" si="95"/>
        <v>Asian or Asian American</v>
      </c>
    </row>
    <row r="468" spans="1:34" x14ac:dyDescent="0.25">
      <c r="A468" t="s">
        <v>1408</v>
      </c>
      <c r="B468" t="s">
        <v>1377</v>
      </c>
      <c r="C468" t="s">
        <v>1409</v>
      </c>
      <c r="D468" t="s">
        <v>1028</v>
      </c>
      <c r="E468" t="s">
        <v>34</v>
      </c>
      <c r="F468" t="str">
        <f t="shared" si="85"/>
        <v>Data Analyst</v>
      </c>
      <c r="G468" t="str">
        <f t="shared" si="86"/>
        <v>Data Analyst</v>
      </c>
      <c r="H468" t="s">
        <v>47</v>
      </c>
      <c r="I468" t="s">
        <v>57</v>
      </c>
      <c r="J468" t="s">
        <v>37</v>
      </c>
      <c r="K468" t="str">
        <f t="shared" si="87"/>
        <v>Healthcare</v>
      </c>
      <c r="L468" t="str">
        <f t="shared" si="88"/>
        <v>Healthcare</v>
      </c>
      <c r="M468" t="s">
        <v>38</v>
      </c>
      <c r="N468" t="str">
        <f t="shared" si="89"/>
        <v>Python</v>
      </c>
      <c r="O468" t="str">
        <f t="shared" si="90"/>
        <v>Python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tr">
        <f t="shared" si="91"/>
        <v>Better Salary</v>
      </c>
      <c r="Y468" t="str">
        <f t="shared" si="92"/>
        <v>Better Salary</v>
      </c>
      <c r="Z468" t="s">
        <v>41</v>
      </c>
      <c r="AA468">
        <v>26</v>
      </c>
      <c r="AB468" t="s">
        <v>151</v>
      </c>
      <c r="AC468" t="str">
        <f t="shared" si="93"/>
        <v>India</v>
      </c>
      <c r="AD468" t="str">
        <f t="shared" si="94"/>
        <v>India</v>
      </c>
      <c r="AE468" t="s">
        <v>241</v>
      </c>
      <c r="AF468" t="s">
        <v>52</v>
      </c>
      <c r="AG468" t="str">
        <f t="shared" si="84"/>
        <v>Asian or Asian American</v>
      </c>
      <c r="AH468" t="str">
        <f t="shared" si="95"/>
        <v>Asian or Asian American</v>
      </c>
    </row>
    <row r="469" spans="1:34" x14ac:dyDescent="0.25">
      <c r="A469" t="s">
        <v>1410</v>
      </c>
      <c r="B469" t="s">
        <v>1377</v>
      </c>
      <c r="C469" t="s">
        <v>1411</v>
      </c>
      <c r="D469" t="s">
        <v>337</v>
      </c>
      <c r="E469" t="s">
        <v>34</v>
      </c>
      <c r="F469" t="str">
        <f t="shared" si="85"/>
        <v>Data Analyst</v>
      </c>
      <c r="G469" t="str">
        <f t="shared" si="86"/>
        <v>Data Analyst</v>
      </c>
      <c r="H469" t="s">
        <v>47</v>
      </c>
      <c r="I469" t="s">
        <v>57</v>
      </c>
      <c r="J469" t="s">
        <v>49</v>
      </c>
      <c r="K469" t="str">
        <f t="shared" si="87"/>
        <v>Finance</v>
      </c>
      <c r="L469" t="str">
        <f t="shared" si="88"/>
        <v>Finance</v>
      </c>
      <c r="M469" t="s">
        <v>38</v>
      </c>
      <c r="N469" t="str">
        <f t="shared" si="89"/>
        <v>Python</v>
      </c>
      <c r="O469" t="str">
        <f t="shared" si="90"/>
        <v>Python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tr">
        <f t="shared" si="91"/>
        <v>Remote Work</v>
      </c>
      <c r="Y469" t="str">
        <f t="shared" si="92"/>
        <v>Remote Work</v>
      </c>
      <c r="Z469" t="s">
        <v>69</v>
      </c>
      <c r="AA469">
        <v>35</v>
      </c>
      <c r="AB469" t="s">
        <v>151</v>
      </c>
      <c r="AC469" t="str">
        <f t="shared" si="93"/>
        <v>India</v>
      </c>
      <c r="AD469" t="str">
        <f t="shared" si="94"/>
        <v>India</v>
      </c>
      <c r="AE469" t="s">
        <v>244</v>
      </c>
      <c r="AF469" t="s">
        <v>52</v>
      </c>
      <c r="AG469" t="str">
        <f t="shared" si="84"/>
        <v>Asian or Asian American</v>
      </c>
      <c r="AH469" t="str">
        <f t="shared" si="95"/>
        <v>Asian or Asian American</v>
      </c>
    </row>
    <row r="470" spans="1:34" x14ac:dyDescent="0.25">
      <c r="A470" t="s">
        <v>1412</v>
      </c>
      <c r="B470" t="s">
        <v>1377</v>
      </c>
      <c r="C470" t="s">
        <v>1413</v>
      </c>
      <c r="D470" t="s">
        <v>219</v>
      </c>
      <c r="E470" t="s">
        <v>34</v>
      </c>
      <c r="F470" t="str">
        <f t="shared" si="85"/>
        <v>Data Analyst</v>
      </c>
      <c r="G470" t="str">
        <f t="shared" si="86"/>
        <v>Data Analyst</v>
      </c>
      <c r="H470" t="s">
        <v>35</v>
      </c>
      <c r="I470" t="s">
        <v>91</v>
      </c>
      <c r="J470" t="s">
        <v>112</v>
      </c>
      <c r="K470" t="str">
        <f t="shared" si="87"/>
        <v>Education</v>
      </c>
      <c r="L470" t="str">
        <f t="shared" si="88"/>
        <v>Education</v>
      </c>
      <c r="M470" t="s">
        <v>38</v>
      </c>
      <c r="N470" t="str">
        <f t="shared" si="89"/>
        <v>Python</v>
      </c>
      <c r="O470" t="str">
        <f t="shared" si="90"/>
        <v>Python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tr">
        <f t="shared" si="91"/>
        <v>Good Culture</v>
      </c>
      <c r="Y470" t="str">
        <f t="shared" si="92"/>
        <v>Good Culture</v>
      </c>
      <c r="Z470" t="s">
        <v>41</v>
      </c>
      <c r="AA470">
        <v>31</v>
      </c>
      <c r="AB470" t="s">
        <v>42</v>
      </c>
      <c r="AC470" t="str">
        <f t="shared" si="93"/>
        <v>United States</v>
      </c>
      <c r="AD470" t="str">
        <f t="shared" si="94"/>
        <v>United States</v>
      </c>
      <c r="AE470" t="s">
        <v>244</v>
      </c>
      <c r="AF470" t="s">
        <v>95</v>
      </c>
      <c r="AG470" t="str">
        <f t="shared" si="84"/>
        <v>Hispanic or Latino</v>
      </c>
      <c r="AH470" t="str">
        <f t="shared" si="95"/>
        <v>Hispanic or Latino</v>
      </c>
    </row>
    <row r="471" spans="1:34" x14ac:dyDescent="0.25">
      <c r="A471" t="s">
        <v>1414</v>
      </c>
      <c r="B471" t="s">
        <v>1377</v>
      </c>
      <c r="C471" t="s">
        <v>1415</v>
      </c>
      <c r="D471" t="s">
        <v>1416</v>
      </c>
      <c r="E471" t="s">
        <v>34</v>
      </c>
      <c r="F471" t="str">
        <f t="shared" si="85"/>
        <v>Data Analyst</v>
      </c>
      <c r="G471" t="str">
        <f t="shared" si="86"/>
        <v>Data Analyst</v>
      </c>
      <c r="H471" t="s">
        <v>35</v>
      </c>
      <c r="I471" t="s">
        <v>57</v>
      </c>
      <c r="J471" t="s">
        <v>112</v>
      </c>
      <c r="K471" t="str">
        <f t="shared" si="87"/>
        <v>Education</v>
      </c>
      <c r="L471" t="str">
        <f t="shared" si="88"/>
        <v>Education</v>
      </c>
      <c r="M471" t="s">
        <v>38</v>
      </c>
      <c r="N471" t="str">
        <f t="shared" si="89"/>
        <v>Python</v>
      </c>
      <c r="O471" t="str">
        <f t="shared" si="90"/>
        <v>Python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tr">
        <f t="shared" si="91"/>
        <v>Remote Work</v>
      </c>
      <c r="Y471" t="str">
        <f t="shared" si="92"/>
        <v>Remote Work</v>
      </c>
      <c r="Z471" t="s">
        <v>41</v>
      </c>
      <c r="AA471">
        <v>25</v>
      </c>
      <c r="AB471" t="s">
        <v>1417</v>
      </c>
      <c r="AC471" t="str">
        <f t="shared" si="93"/>
        <v>Zambia</v>
      </c>
      <c r="AD471" t="str">
        <f t="shared" si="94"/>
        <v>Others</v>
      </c>
      <c r="AE471" t="s">
        <v>241</v>
      </c>
      <c r="AF471" t="s">
        <v>62</v>
      </c>
      <c r="AG471" t="str">
        <f t="shared" si="84"/>
        <v>Black or African American</v>
      </c>
      <c r="AH471" t="str">
        <f t="shared" si="95"/>
        <v>Black or African American</v>
      </c>
    </row>
    <row r="472" spans="1:34" x14ac:dyDescent="0.25">
      <c r="A472" t="s">
        <v>1418</v>
      </c>
      <c r="B472" t="s">
        <v>1377</v>
      </c>
      <c r="C472" t="s">
        <v>1419</v>
      </c>
      <c r="D472" t="s">
        <v>805</v>
      </c>
      <c r="E472" t="s">
        <v>56</v>
      </c>
      <c r="F472" t="str">
        <f t="shared" si="85"/>
        <v>Data Engineer</v>
      </c>
      <c r="G472" t="str">
        <f t="shared" si="86"/>
        <v>Data Engineer</v>
      </c>
      <c r="H472" t="s">
        <v>35</v>
      </c>
      <c r="I472" t="s">
        <v>98</v>
      </c>
      <c r="J472" t="s">
        <v>716</v>
      </c>
      <c r="K472" t="str">
        <f t="shared" si="87"/>
        <v>Real Estate</v>
      </c>
      <c r="L472" t="str">
        <f t="shared" si="88"/>
        <v>Real Estate</v>
      </c>
      <c r="M472" t="s">
        <v>38</v>
      </c>
      <c r="N472" t="str">
        <f t="shared" si="89"/>
        <v>Python</v>
      </c>
      <c r="O472" t="str">
        <f t="shared" si="90"/>
        <v>Python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tr">
        <f t="shared" si="91"/>
        <v>Remote Work</v>
      </c>
      <c r="Y472" t="str">
        <f t="shared" si="92"/>
        <v>Remote Work</v>
      </c>
      <c r="Z472" t="s">
        <v>41</v>
      </c>
      <c r="AA472">
        <v>27</v>
      </c>
      <c r="AB472" t="s">
        <v>42</v>
      </c>
      <c r="AC472" t="str">
        <f t="shared" si="93"/>
        <v>United States</v>
      </c>
      <c r="AD472" t="str">
        <f t="shared" si="94"/>
        <v>United States</v>
      </c>
      <c r="AE472" t="s">
        <v>241</v>
      </c>
      <c r="AF472" t="s">
        <v>43</v>
      </c>
      <c r="AG472" t="str">
        <f t="shared" si="84"/>
        <v>White or Caucasian</v>
      </c>
      <c r="AH472" t="str">
        <f t="shared" si="95"/>
        <v>White or Caucasian</v>
      </c>
    </row>
    <row r="473" spans="1:34" x14ac:dyDescent="0.25">
      <c r="A473" t="s">
        <v>1420</v>
      </c>
      <c r="B473" t="s">
        <v>1377</v>
      </c>
      <c r="C473" t="s">
        <v>1421</v>
      </c>
      <c r="D473" t="s">
        <v>233</v>
      </c>
      <c r="E473" t="s">
        <v>34</v>
      </c>
      <c r="F473" t="str">
        <f t="shared" si="85"/>
        <v>Data Analyst</v>
      </c>
      <c r="G473" t="str">
        <f t="shared" si="86"/>
        <v>Data Analyst</v>
      </c>
      <c r="H473" t="s">
        <v>35</v>
      </c>
      <c r="I473" t="s">
        <v>48</v>
      </c>
      <c r="J473" t="s">
        <v>107</v>
      </c>
      <c r="K473" t="str">
        <f t="shared" si="87"/>
        <v>Tech</v>
      </c>
      <c r="L473" t="str">
        <f t="shared" si="88"/>
        <v>Tech</v>
      </c>
      <c r="M473" t="s">
        <v>38</v>
      </c>
      <c r="N473" t="str">
        <f t="shared" si="89"/>
        <v>Python</v>
      </c>
      <c r="O473" t="str">
        <f t="shared" si="90"/>
        <v>Python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tr">
        <f t="shared" si="91"/>
        <v>Good Culture</v>
      </c>
      <c r="Y473" t="str">
        <f t="shared" si="92"/>
        <v>Good Culture</v>
      </c>
      <c r="Z473" t="s">
        <v>41</v>
      </c>
      <c r="AA473">
        <v>32</v>
      </c>
      <c r="AB473" t="s">
        <v>323</v>
      </c>
      <c r="AC473" t="str">
        <f t="shared" si="93"/>
        <v>Netherlands</v>
      </c>
      <c r="AD473" t="str">
        <f t="shared" si="94"/>
        <v>Netherlands</v>
      </c>
      <c r="AE473" t="s">
        <v>241</v>
      </c>
      <c r="AF473" t="s">
        <v>43</v>
      </c>
      <c r="AG473" t="str">
        <f t="shared" si="84"/>
        <v>White or Caucasian</v>
      </c>
      <c r="AH473" t="str">
        <f t="shared" si="95"/>
        <v>White or Caucasian</v>
      </c>
    </row>
    <row r="474" spans="1:34" x14ac:dyDescent="0.25">
      <c r="A474" t="s">
        <v>1422</v>
      </c>
      <c r="B474" t="s">
        <v>1377</v>
      </c>
      <c r="C474" t="s">
        <v>1423</v>
      </c>
      <c r="D474" t="s">
        <v>1424</v>
      </c>
      <c r="E474" t="s">
        <v>127</v>
      </c>
      <c r="F474" t="str">
        <f t="shared" si="85"/>
        <v>Student/Looking/None</v>
      </c>
      <c r="G474" t="str">
        <f t="shared" si="86"/>
        <v>Student/Looking/None</v>
      </c>
      <c r="H474" t="s">
        <v>35</v>
      </c>
      <c r="I474" t="s">
        <v>57</v>
      </c>
      <c r="J474" t="s">
        <v>716</v>
      </c>
      <c r="K474" t="str">
        <f t="shared" si="87"/>
        <v>Real Estate</v>
      </c>
      <c r="L474" t="str">
        <f t="shared" si="88"/>
        <v>Real Estate</v>
      </c>
      <c r="M474" t="s">
        <v>38</v>
      </c>
      <c r="N474" t="str">
        <f t="shared" si="89"/>
        <v>Python</v>
      </c>
      <c r="O474" t="str">
        <f t="shared" si="90"/>
        <v>Python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tr">
        <f t="shared" si="91"/>
        <v>Good Work/Life Balance</v>
      </c>
      <c r="Y474" t="str">
        <f t="shared" si="92"/>
        <v>Good Work/Life Balance</v>
      </c>
      <c r="Z474" t="s">
        <v>41</v>
      </c>
      <c r="AA474">
        <v>47</v>
      </c>
      <c r="AB474" t="s">
        <v>427</v>
      </c>
      <c r="AC474" t="str">
        <f t="shared" si="93"/>
        <v>Portugal</v>
      </c>
      <c r="AD474" t="str">
        <f t="shared" si="94"/>
        <v>Portugal</v>
      </c>
      <c r="AE474" t="s">
        <v>241</v>
      </c>
      <c r="AF474" t="s">
        <v>43</v>
      </c>
      <c r="AG474" t="str">
        <f t="shared" si="84"/>
        <v>White or Caucasian</v>
      </c>
      <c r="AH474" t="str">
        <f t="shared" si="95"/>
        <v>White or Caucasian</v>
      </c>
    </row>
    <row r="475" spans="1:34" x14ac:dyDescent="0.25">
      <c r="A475" t="s">
        <v>1425</v>
      </c>
      <c r="B475" t="s">
        <v>1377</v>
      </c>
      <c r="C475" t="s">
        <v>291</v>
      </c>
      <c r="D475" t="s">
        <v>619</v>
      </c>
      <c r="E475" t="s">
        <v>1426</v>
      </c>
      <c r="F475" t="str">
        <f t="shared" si="85"/>
        <v>DBA</v>
      </c>
      <c r="G475" t="str">
        <f t="shared" si="86"/>
        <v>Others</v>
      </c>
      <c r="H475" t="s">
        <v>47</v>
      </c>
      <c r="I475" t="s">
        <v>98</v>
      </c>
      <c r="J475" t="s">
        <v>49</v>
      </c>
      <c r="K475" t="str">
        <f t="shared" si="87"/>
        <v>Finance</v>
      </c>
      <c r="L475" t="str">
        <f t="shared" si="88"/>
        <v>Finance</v>
      </c>
      <c r="M475" t="s">
        <v>38</v>
      </c>
      <c r="N475" t="str">
        <f t="shared" si="89"/>
        <v>Python</v>
      </c>
      <c r="O475" t="str">
        <f t="shared" si="90"/>
        <v>Python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tr">
        <f t="shared" si="91"/>
        <v>Good Work/Life Balance</v>
      </c>
      <c r="Y475" t="str">
        <f t="shared" si="92"/>
        <v>Good Work/Life Balance</v>
      </c>
      <c r="Z475" t="s">
        <v>69</v>
      </c>
      <c r="AA475">
        <v>30</v>
      </c>
      <c r="AB475" t="s">
        <v>42</v>
      </c>
      <c r="AC475" t="str">
        <f t="shared" si="93"/>
        <v>United States</v>
      </c>
      <c r="AD475" t="str">
        <f t="shared" si="94"/>
        <v>United States</v>
      </c>
      <c r="AE475" t="s">
        <v>244</v>
      </c>
      <c r="AF475" t="s">
        <v>52</v>
      </c>
      <c r="AG475" t="str">
        <f t="shared" si="84"/>
        <v>Asian or Asian American</v>
      </c>
      <c r="AH475" t="str">
        <f t="shared" si="95"/>
        <v>Asian or Asian American</v>
      </c>
    </row>
    <row r="476" spans="1:34" x14ac:dyDescent="0.25">
      <c r="A476" t="s">
        <v>1427</v>
      </c>
      <c r="B476" t="s">
        <v>1377</v>
      </c>
      <c r="C476" t="s">
        <v>370</v>
      </c>
      <c r="D476" t="s">
        <v>200</v>
      </c>
      <c r="E476" t="s">
        <v>34</v>
      </c>
      <c r="F476" t="str">
        <f t="shared" si="85"/>
        <v>Data Analyst</v>
      </c>
      <c r="G476" t="str">
        <f t="shared" si="86"/>
        <v>Data Analyst</v>
      </c>
      <c r="H476" t="s">
        <v>35</v>
      </c>
      <c r="I476" t="s">
        <v>36</v>
      </c>
      <c r="J476" t="s">
        <v>1428</v>
      </c>
      <c r="K476" t="str">
        <f t="shared" si="87"/>
        <v>Defense</v>
      </c>
      <c r="L476" t="str">
        <f t="shared" si="88"/>
        <v>Others</v>
      </c>
      <c r="M476" t="s">
        <v>38</v>
      </c>
      <c r="N476" t="str">
        <f t="shared" si="89"/>
        <v>Python</v>
      </c>
      <c r="O476" t="str">
        <f t="shared" si="90"/>
        <v>Python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tr">
        <f t="shared" si="91"/>
        <v>Better Salary</v>
      </c>
      <c r="Y476" t="str">
        <f t="shared" si="92"/>
        <v>Better Salary</v>
      </c>
      <c r="Z476" t="s">
        <v>69</v>
      </c>
      <c r="AA476">
        <v>35</v>
      </c>
      <c r="AB476" t="s">
        <v>42</v>
      </c>
      <c r="AC476" t="str">
        <f t="shared" si="93"/>
        <v>United States</v>
      </c>
      <c r="AD476" t="str">
        <f t="shared" si="94"/>
        <v>United States</v>
      </c>
      <c r="AE476" t="s">
        <v>244</v>
      </c>
      <c r="AF476" t="s">
        <v>62</v>
      </c>
      <c r="AG476" t="str">
        <f t="shared" si="84"/>
        <v>Black or African American</v>
      </c>
      <c r="AH476" t="str">
        <f t="shared" si="95"/>
        <v>Black or African American</v>
      </c>
    </row>
    <row r="477" spans="1:34" x14ac:dyDescent="0.25">
      <c r="A477" t="s">
        <v>1429</v>
      </c>
      <c r="B477" t="s">
        <v>1377</v>
      </c>
      <c r="C477" t="s">
        <v>392</v>
      </c>
      <c r="D477" t="s">
        <v>935</v>
      </c>
      <c r="E477" t="s">
        <v>34</v>
      </c>
      <c r="F477" t="str">
        <f t="shared" si="85"/>
        <v>Data Analyst</v>
      </c>
      <c r="G477" t="str">
        <f t="shared" si="86"/>
        <v>Data Analyst</v>
      </c>
      <c r="H477" t="s">
        <v>35</v>
      </c>
      <c r="I477" t="s">
        <v>48</v>
      </c>
      <c r="J477" t="s">
        <v>49</v>
      </c>
      <c r="K477" t="str">
        <f t="shared" si="87"/>
        <v>Finance</v>
      </c>
      <c r="L477" t="str">
        <f t="shared" si="88"/>
        <v>Finance</v>
      </c>
      <c r="M477" t="s">
        <v>38</v>
      </c>
      <c r="N477" t="str">
        <f t="shared" si="89"/>
        <v>Python</v>
      </c>
      <c r="O477" t="str">
        <f t="shared" si="90"/>
        <v>Python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tr">
        <f t="shared" si="91"/>
        <v>Remote Work</v>
      </c>
      <c r="Y477" t="str">
        <f t="shared" si="92"/>
        <v>Remote Work</v>
      </c>
      <c r="Z477" t="s">
        <v>41</v>
      </c>
      <c r="AA477">
        <v>25</v>
      </c>
      <c r="AB477" t="s">
        <v>42</v>
      </c>
      <c r="AC477" t="str">
        <f t="shared" si="93"/>
        <v>United States</v>
      </c>
      <c r="AD477" t="str">
        <f t="shared" si="94"/>
        <v>United States</v>
      </c>
      <c r="AE477" t="s">
        <v>231</v>
      </c>
      <c r="AF477" t="s">
        <v>95</v>
      </c>
      <c r="AG477" t="str">
        <f t="shared" si="84"/>
        <v>Hispanic or Latino</v>
      </c>
      <c r="AH477" t="str">
        <f t="shared" si="95"/>
        <v>Hispanic or Latino</v>
      </c>
    </row>
    <row r="478" spans="1:34" x14ac:dyDescent="0.25">
      <c r="A478" t="s">
        <v>1430</v>
      </c>
      <c r="B478" t="s">
        <v>1377</v>
      </c>
      <c r="C478" t="s">
        <v>425</v>
      </c>
      <c r="D478" t="s">
        <v>1431</v>
      </c>
      <c r="E478" t="s">
        <v>1432</v>
      </c>
      <c r="F478" t="str">
        <f t="shared" si="85"/>
        <v>Data Steward</v>
      </c>
      <c r="G478" t="str">
        <f t="shared" si="86"/>
        <v>Others</v>
      </c>
      <c r="H478" t="s">
        <v>47</v>
      </c>
      <c r="I478" t="s">
        <v>98</v>
      </c>
      <c r="J478" t="s">
        <v>1433</v>
      </c>
      <c r="K478" t="str">
        <f t="shared" si="87"/>
        <v>Foodservice</v>
      </c>
      <c r="L478" t="str">
        <f t="shared" si="88"/>
        <v>Others</v>
      </c>
      <c r="M478" t="s">
        <v>38</v>
      </c>
      <c r="N478" t="str">
        <f t="shared" si="89"/>
        <v>Python</v>
      </c>
      <c r="O478" t="str">
        <f t="shared" si="90"/>
        <v>Python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tr">
        <f t="shared" si="91"/>
        <v>Better Salary</v>
      </c>
      <c r="Y478" t="str">
        <f t="shared" si="92"/>
        <v>Better Salary</v>
      </c>
      <c r="Z478" t="s">
        <v>41</v>
      </c>
      <c r="AA478">
        <v>27</v>
      </c>
      <c r="AB478" t="s">
        <v>42</v>
      </c>
      <c r="AC478" t="str">
        <f t="shared" si="93"/>
        <v>United States</v>
      </c>
      <c r="AD478" t="str">
        <f t="shared" si="94"/>
        <v>United States</v>
      </c>
      <c r="AE478" t="s">
        <v>241</v>
      </c>
      <c r="AF478" t="s">
        <v>43</v>
      </c>
      <c r="AG478" t="str">
        <f t="shared" si="84"/>
        <v>White or Caucasian</v>
      </c>
      <c r="AH478" t="str">
        <f t="shared" si="95"/>
        <v>White or Caucasian</v>
      </c>
    </row>
    <row r="479" spans="1:34" x14ac:dyDescent="0.25">
      <c r="A479" t="s">
        <v>1434</v>
      </c>
      <c r="B479" t="s">
        <v>1377</v>
      </c>
      <c r="C479" t="s">
        <v>425</v>
      </c>
      <c r="D479" t="s">
        <v>158</v>
      </c>
      <c r="E479" t="s">
        <v>34</v>
      </c>
      <c r="F479" t="str">
        <f t="shared" si="85"/>
        <v>Data Analyst</v>
      </c>
      <c r="G479" t="str">
        <f t="shared" si="86"/>
        <v>Data Analyst</v>
      </c>
      <c r="H479" t="s">
        <v>35</v>
      </c>
      <c r="I479" t="s">
        <v>48</v>
      </c>
      <c r="J479" t="s">
        <v>37</v>
      </c>
      <c r="K479" t="str">
        <f t="shared" si="87"/>
        <v>Healthcare</v>
      </c>
      <c r="L479" t="str">
        <f t="shared" si="88"/>
        <v>Healthcare</v>
      </c>
      <c r="M479" t="s">
        <v>50</v>
      </c>
      <c r="N479" t="str">
        <f t="shared" si="89"/>
        <v>R</v>
      </c>
      <c r="O479" t="str">
        <f t="shared" si="90"/>
        <v>R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tr">
        <f t="shared" si="91"/>
        <v>Remote Work</v>
      </c>
      <c r="Y479" t="str">
        <f t="shared" si="92"/>
        <v>Remote Work</v>
      </c>
      <c r="Z479" t="s">
        <v>69</v>
      </c>
      <c r="AA479">
        <v>27</v>
      </c>
      <c r="AB479" t="s">
        <v>42</v>
      </c>
      <c r="AC479" t="str">
        <f t="shared" si="93"/>
        <v>United States</v>
      </c>
      <c r="AD479" t="str">
        <f t="shared" si="94"/>
        <v>United States</v>
      </c>
      <c r="AE479" t="s">
        <v>244</v>
      </c>
      <c r="AF479" t="s">
        <v>62</v>
      </c>
      <c r="AG479" t="str">
        <f t="shared" si="84"/>
        <v>Black or African American</v>
      </c>
      <c r="AH479" t="str">
        <f t="shared" si="95"/>
        <v>Black or African American</v>
      </c>
    </row>
    <row r="480" spans="1:34" x14ac:dyDescent="0.25">
      <c r="A480" t="s">
        <v>1435</v>
      </c>
      <c r="B480" t="s">
        <v>1377</v>
      </c>
      <c r="C480" t="s">
        <v>1436</v>
      </c>
      <c r="D480" t="s">
        <v>200</v>
      </c>
      <c r="E480" t="s">
        <v>127</v>
      </c>
      <c r="F480" t="str">
        <f t="shared" si="85"/>
        <v>Student/Looking/None</v>
      </c>
      <c r="G480" t="str">
        <f t="shared" si="86"/>
        <v>Student/Looking/None</v>
      </c>
      <c r="H480" t="s">
        <v>47</v>
      </c>
      <c r="I480" t="s">
        <v>57</v>
      </c>
      <c r="J480" t="s">
        <v>1437</v>
      </c>
      <c r="K480" t="str">
        <f t="shared" si="87"/>
        <v>Data insights company</v>
      </c>
      <c r="L480" t="str">
        <f t="shared" si="88"/>
        <v>Others</v>
      </c>
      <c r="M480" t="s">
        <v>38</v>
      </c>
      <c r="N480" t="str">
        <f t="shared" si="89"/>
        <v>Python</v>
      </c>
      <c r="O480" t="str">
        <f t="shared" si="90"/>
        <v>Python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tr">
        <f t="shared" si="91"/>
        <v>Better Salary</v>
      </c>
      <c r="Y480" t="str">
        <f t="shared" si="92"/>
        <v>Better Salary</v>
      </c>
      <c r="Z480" t="s">
        <v>69</v>
      </c>
      <c r="AA480">
        <v>23</v>
      </c>
      <c r="AB480" t="s">
        <v>151</v>
      </c>
      <c r="AC480" t="str">
        <f t="shared" si="93"/>
        <v>India</v>
      </c>
      <c r="AD480" t="str">
        <f t="shared" si="94"/>
        <v>India</v>
      </c>
      <c r="AE480" t="s">
        <v>244</v>
      </c>
      <c r="AF480" t="s">
        <v>52</v>
      </c>
      <c r="AG480" t="str">
        <f t="shared" si="84"/>
        <v>Asian or Asian American</v>
      </c>
      <c r="AH480" t="str">
        <f t="shared" si="95"/>
        <v>Asian or Asian American</v>
      </c>
    </row>
    <row r="481" spans="1:34" x14ac:dyDescent="0.25">
      <c r="A481" t="s">
        <v>1438</v>
      </c>
      <c r="B481" t="s">
        <v>1377</v>
      </c>
      <c r="C481" t="s">
        <v>1439</v>
      </c>
      <c r="D481" t="s">
        <v>65</v>
      </c>
      <c r="E481" t="s">
        <v>81</v>
      </c>
      <c r="F481" t="str">
        <f t="shared" si="85"/>
        <v>Data Scientist</v>
      </c>
      <c r="G481" t="str">
        <f t="shared" si="86"/>
        <v>Data Scientist</v>
      </c>
      <c r="H481" t="s">
        <v>47</v>
      </c>
      <c r="I481" t="s">
        <v>48</v>
      </c>
      <c r="J481" t="s">
        <v>1049</v>
      </c>
      <c r="K481" t="str">
        <f t="shared" si="87"/>
        <v>Manuf</v>
      </c>
      <c r="L481" t="str">
        <f t="shared" si="88"/>
        <v>Others</v>
      </c>
      <c r="M481" t="s">
        <v>38</v>
      </c>
      <c r="N481" t="str">
        <f t="shared" si="89"/>
        <v>Python</v>
      </c>
      <c r="O481" t="str">
        <f t="shared" si="90"/>
        <v>Python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tr">
        <f t="shared" si="91"/>
        <v>Good Culture</v>
      </c>
      <c r="Y481" t="str">
        <f t="shared" si="92"/>
        <v>Good Culture</v>
      </c>
      <c r="Z481" t="s">
        <v>41</v>
      </c>
      <c r="AA481">
        <v>18</v>
      </c>
      <c r="AB481" t="s">
        <v>42</v>
      </c>
      <c r="AC481" t="str">
        <f t="shared" si="93"/>
        <v>United States</v>
      </c>
      <c r="AD481" t="str">
        <f t="shared" si="94"/>
        <v>United States</v>
      </c>
      <c r="AE481" t="s">
        <v>241</v>
      </c>
      <c r="AF481" t="s">
        <v>43</v>
      </c>
      <c r="AG481" t="str">
        <f t="shared" si="84"/>
        <v>White or Caucasian</v>
      </c>
      <c r="AH481" t="str">
        <f t="shared" si="95"/>
        <v>White or Caucasian</v>
      </c>
    </row>
    <row r="482" spans="1:34" x14ac:dyDescent="0.25">
      <c r="A482" t="s">
        <v>1440</v>
      </c>
      <c r="B482" t="s">
        <v>1377</v>
      </c>
      <c r="C482" t="s">
        <v>1441</v>
      </c>
      <c r="D482" t="s">
        <v>829</v>
      </c>
      <c r="E482" t="s">
        <v>34</v>
      </c>
      <c r="F482" t="str">
        <f t="shared" si="85"/>
        <v>Data Analyst</v>
      </c>
      <c r="G482" t="str">
        <f t="shared" si="86"/>
        <v>Data Analyst</v>
      </c>
      <c r="H482" t="s">
        <v>35</v>
      </c>
      <c r="I482" t="s">
        <v>57</v>
      </c>
      <c r="J482" t="s">
        <v>37</v>
      </c>
      <c r="K482" t="str">
        <f t="shared" si="87"/>
        <v>Healthcare</v>
      </c>
      <c r="L482" t="str">
        <f t="shared" si="88"/>
        <v>Healthcare</v>
      </c>
      <c r="M482" t="s">
        <v>38</v>
      </c>
      <c r="N482" t="str">
        <f t="shared" si="89"/>
        <v>Python</v>
      </c>
      <c r="O482" t="str">
        <f t="shared" si="90"/>
        <v>Python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tr">
        <f t="shared" si="91"/>
        <v>Remote Work</v>
      </c>
      <c r="Y482" t="str">
        <f t="shared" si="92"/>
        <v>Remote Work</v>
      </c>
      <c r="Z482" t="s">
        <v>69</v>
      </c>
      <c r="AA482">
        <v>28</v>
      </c>
      <c r="AB482" t="s">
        <v>903</v>
      </c>
      <c r="AC482" t="str">
        <f t="shared" si="93"/>
        <v>Costa Rica</v>
      </c>
      <c r="AD482" t="str">
        <f t="shared" si="94"/>
        <v>Costa Rica</v>
      </c>
      <c r="AE482" t="s">
        <v>244</v>
      </c>
      <c r="AF482" t="s">
        <v>95</v>
      </c>
      <c r="AG482" t="str">
        <f t="shared" si="84"/>
        <v>Hispanic or Latino</v>
      </c>
      <c r="AH482" t="str">
        <f t="shared" si="95"/>
        <v>Hispanic or Latino</v>
      </c>
    </row>
    <row r="483" spans="1:34" x14ac:dyDescent="0.25">
      <c r="A483" t="s">
        <v>1442</v>
      </c>
      <c r="B483" t="s">
        <v>1377</v>
      </c>
      <c r="C483" t="s">
        <v>1443</v>
      </c>
      <c r="D483" t="s">
        <v>158</v>
      </c>
      <c r="E483" t="s">
        <v>522</v>
      </c>
      <c r="F483" t="str">
        <f t="shared" si="85"/>
        <v>Analytics Manager</v>
      </c>
      <c r="G483" t="str">
        <f t="shared" si="86"/>
        <v>Others</v>
      </c>
      <c r="H483" t="s">
        <v>35</v>
      </c>
      <c r="I483" t="s">
        <v>86</v>
      </c>
      <c r="J483" t="s">
        <v>37</v>
      </c>
      <c r="K483" t="str">
        <f t="shared" si="87"/>
        <v>Healthcare</v>
      </c>
      <c r="L483" t="str">
        <f t="shared" si="88"/>
        <v>Healthcare</v>
      </c>
      <c r="M483" t="s">
        <v>38</v>
      </c>
      <c r="N483" t="str">
        <f t="shared" si="89"/>
        <v>Python</v>
      </c>
      <c r="O483" t="str">
        <f t="shared" si="90"/>
        <v>Python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tr">
        <f t="shared" si="91"/>
        <v>Remote Work</v>
      </c>
      <c r="Y483" t="str">
        <f t="shared" si="92"/>
        <v>Remote Work</v>
      </c>
      <c r="Z483" t="s">
        <v>41</v>
      </c>
      <c r="AA483">
        <v>28</v>
      </c>
      <c r="AB483" t="s">
        <v>42</v>
      </c>
      <c r="AC483" t="str">
        <f t="shared" si="93"/>
        <v>United States</v>
      </c>
      <c r="AD483" t="str">
        <f t="shared" si="94"/>
        <v>United States</v>
      </c>
      <c r="AE483" t="s">
        <v>241</v>
      </c>
      <c r="AF483" t="s">
        <v>43</v>
      </c>
      <c r="AG483" t="str">
        <f t="shared" si="84"/>
        <v>White or Caucasian</v>
      </c>
      <c r="AH483" t="str">
        <f t="shared" si="95"/>
        <v>White or Caucasian</v>
      </c>
    </row>
    <row r="484" spans="1:34" x14ac:dyDescent="0.25">
      <c r="A484" t="s">
        <v>1444</v>
      </c>
      <c r="B484" t="s">
        <v>1377</v>
      </c>
      <c r="C484" t="s">
        <v>1263</v>
      </c>
      <c r="D484" t="s">
        <v>139</v>
      </c>
      <c r="E484" t="s">
        <v>127</v>
      </c>
      <c r="F484" t="str">
        <f t="shared" si="85"/>
        <v>Student/Looking/None</v>
      </c>
      <c r="G484" t="str">
        <f t="shared" si="86"/>
        <v>Student/Looking/None</v>
      </c>
      <c r="H484" t="s">
        <v>47</v>
      </c>
      <c r="I484" t="s">
        <v>57</v>
      </c>
      <c r="J484" t="s">
        <v>1445</v>
      </c>
      <c r="K484" t="str">
        <f t="shared" si="87"/>
        <v>Not currently working</v>
      </c>
      <c r="L484" t="str">
        <f t="shared" si="88"/>
        <v>Others</v>
      </c>
      <c r="M484" t="s">
        <v>38</v>
      </c>
      <c r="N484" t="str">
        <f t="shared" si="89"/>
        <v>Python</v>
      </c>
      <c r="O484" t="str">
        <f t="shared" si="90"/>
        <v>Python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tr">
        <f t="shared" si="91"/>
        <v>Good Work/Life Balance</v>
      </c>
      <c r="Y484" t="str">
        <f t="shared" si="92"/>
        <v>Good Work/Life Balance</v>
      </c>
      <c r="Z484" t="s">
        <v>69</v>
      </c>
      <c r="AA484">
        <v>26</v>
      </c>
      <c r="AB484" t="s">
        <v>42</v>
      </c>
      <c r="AC484" t="str">
        <f t="shared" si="93"/>
        <v>United States</v>
      </c>
      <c r="AD484" t="str">
        <f t="shared" si="94"/>
        <v>United States</v>
      </c>
      <c r="AE484" t="s">
        <v>241</v>
      </c>
      <c r="AF484" t="s">
        <v>1404</v>
      </c>
      <c r="AG484" t="str">
        <f t="shared" si="84"/>
        <v>American Indian or Alaska Native</v>
      </c>
      <c r="AH484" t="str">
        <f t="shared" si="95"/>
        <v>Others</v>
      </c>
    </row>
    <row r="485" spans="1:34" x14ac:dyDescent="0.25">
      <c r="A485" t="s">
        <v>1446</v>
      </c>
      <c r="B485" t="s">
        <v>1377</v>
      </c>
      <c r="C485" t="s">
        <v>1267</v>
      </c>
      <c r="D485" t="s">
        <v>233</v>
      </c>
      <c r="E485" t="s">
        <v>127</v>
      </c>
      <c r="F485" t="str">
        <f t="shared" si="85"/>
        <v>Student/Looking/None</v>
      </c>
      <c r="G485" t="str">
        <f t="shared" si="86"/>
        <v>Student/Looking/None</v>
      </c>
      <c r="H485" t="s">
        <v>47</v>
      </c>
      <c r="I485" t="s">
        <v>57</v>
      </c>
      <c r="J485" t="s">
        <v>112</v>
      </c>
      <c r="K485" t="str">
        <f t="shared" si="87"/>
        <v>Education</v>
      </c>
      <c r="L485" t="str">
        <f t="shared" si="88"/>
        <v>Education</v>
      </c>
      <c r="M485" t="s">
        <v>38</v>
      </c>
      <c r="N485" t="str">
        <f t="shared" si="89"/>
        <v>Python</v>
      </c>
      <c r="O485" t="str">
        <f t="shared" si="90"/>
        <v>Python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tr">
        <f t="shared" si="91"/>
        <v>Better Salary</v>
      </c>
      <c r="Y485" t="str">
        <f t="shared" si="92"/>
        <v>Better Salary</v>
      </c>
      <c r="Z485" t="s">
        <v>41</v>
      </c>
      <c r="AA485">
        <v>27</v>
      </c>
      <c r="AB485" t="s">
        <v>1447</v>
      </c>
      <c r="AC485" t="str">
        <f t="shared" si="93"/>
        <v>ghana</v>
      </c>
      <c r="AD485" t="str">
        <f t="shared" si="94"/>
        <v>Others</v>
      </c>
      <c r="AE485" t="s">
        <v>241</v>
      </c>
      <c r="AF485" t="s">
        <v>62</v>
      </c>
      <c r="AG485" t="str">
        <f t="shared" si="84"/>
        <v>Black or African American</v>
      </c>
      <c r="AH485" t="str">
        <f t="shared" si="95"/>
        <v>Black or African American</v>
      </c>
    </row>
    <row r="486" spans="1:34" x14ac:dyDescent="0.25">
      <c r="A486" t="s">
        <v>1448</v>
      </c>
      <c r="B486" t="s">
        <v>1377</v>
      </c>
      <c r="C486" t="s">
        <v>1449</v>
      </c>
      <c r="D486" t="s">
        <v>1450</v>
      </c>
      <c r="E486" t="s">
        <v>34</v>
      </c>
      <c r="F486" t="str">
        <f t="shared" si="85"/>
        <v>Data Analyst</v>
      </c>
      <c r="G486" t="str">
        <f t="shared" si="86"/>
        <v>Data Analyst</v>
      </c>
      <c r="H486" t="s">
        <v>47</v>
      </c>
      <c r="I486" t="s">
        <v>48</v>
      </c>
      <c r="J486" t="s">
        <v>107</v>
      </c>
      <c r="K486" t="str">
        <f t="shared" si="87"/>
        <v>Tech</v>
      </c>
      <c r="L486" t="str">
        <f t="shared" si="88"/>
        <v>Tech</v>
      </c>
      <c r="M486" t="s">
        <v>38</v>
      </c>
      <c r="N486" t="str">
        <f t="shared" si="89"/>
        <v>Python</v>
      </c>
      <c r="O486" t="str">
        <f t="shared" si="90"/>
        <v>Python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tr">
        <f t="shared" si="91"/>
        <v>Good Work/Life Balance</v>
      </c>
      <c r="Y486" t="str">
        <f t="shared" si="92"/>
        <v>Good Work/Life Balance</v>
      </c>
      <c r="Z486" t="s">
        <v>69</v>
      </c>
      <c r="AA486">
        <v>22</v>
      </c>
      <c r="AB486" t="s">
        <v>151</v>
      </c>
      <c r="AC486" t="str">
        <f t="shared" si="93"/>
        <v>India</v>
      </c>
      <c r="AD486" t="str">
        <f t="shared" si="94"/>
        <v>India</v>
      </c>
      <c r="AE486" t="s">
        <v>244</v>
      </c>
      <c r="AF486" t="s">
        <v>52</v>
      </c>
      <c r="AG486" t="str">
        <f t="shared" si="84"/>
        <v>Asian or Asian American</v>
      </c>
      <c r="AH486" t="str">
        <f t="shared" si="95"/>
        <v>Asian or Asian American</v>
      </c>
    </row>
    <row r="487" spans="1:34" x14ac:dyDescent="0.25">
      <c r="A487" t="s">
        <v>1451</v>
      </c>
      <c r="B487" t="s">
        <v>1377</v>
      </c>
      <c r="C487" t="s">
        <v>723</v>
      </c>
      <c r="D487" t="s">
        <v>393</v>
      </c>
      <c r="E487" t="s">
        <v>34</v>
      </c>
      <c r="F487" t="str">
        <f t="shared" si="85"/>
        <v>Data Analyst</v>
      </c>
      <c r="G487" t="str">
        <f t="shared" si="86"/>
        <v>Data Analyst</v>
      </c>
      <c r="H487" t="s">
        <v>35</v>
      </c>
      <c r="I487" t="s">
        <v>57</v>
      </c>
      <c r="J487" t="s">
        <v>107</v>
      </c>
      <c r="K487" t="str">
        <f t="shared" si="87"/>
        <v>Tech</v>
      </c>
      <c r="L487" t="str">
        <f t="shared" si="88"/>
        <v>Tech</v>
      </c>
      <c r="M487" t="s">
        <v>50</v>
      </c>
      <c r="N487" t="str">
        <f t="shared" si="89"/>
        <v>R</v>
      </c>
      <c r="O487" t="str">
        <f t="shared" si="90"/>
        <v>R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tr">
        <f t="shared" si="91"/>
        <v>Better Salary</v>
      </c>
      <c r="Y487" t="str">
        <f t="shared" si="92"/>
        <v>Better Salary</v>
      </c>
      <c r="Z487" t="s">
        <v>41</v>
      </c>
      <c r="AA487">
        <v>27</v>
      </c>
      <c r="AB487" t="s">
        <v>42</v>
      </c>
      <c r="AC487" t="str">
        <f t="shared" si="93"/>
        <v>United States</v>
      </c>
      <c r="AD487" t="str">
        <f t="shared" si="94"/>
        <v>United States</v>
      </c>
      <c r="AE487" t="s">
        <v>231</v>
      </c>
      <c r="AF487" t="s">
        <v>43</v>
      </c>
      <c r="AG487" t="str">
        <f t="shared" si="84"/>
        <v>White or Caucasian</v>
      </c>
      <c r="AH487" t="str">
        <f t="shared" si="95"/>
        <v>White or Caucasian</v>
      </c>
    </row>
    <row r="488" spans="1:34" x14ac:dyDescent="0.25">
      <c r="A488" t="s">
        <v>1452</v>
      </c>
      <c r="B488" t="s">
        <v>1377</v>
      </c>
      <c r="C488" t="s">
        <v>754</v>
      </c>
      <c r="D488" t="s">
        <v>826</v>
      </c>
      <c r="E488" t="s">
        <v>56</v>
      </c>
      <c r="F488" t="str">
        <f t="shared" si="85"/>
        <v>Data Engineer</v>
      </c>
      <c r="G488" t="str">
        <f t="shared" si="86"/>
        <v>Data Engineer</v>
      </c>
      <c r="H488" t="s">
        <v>35</v>
      </c>
      <c r="I488" t="s">
        <v>57</v>
      </c>
      <c r="J488" t="s">
        <v>1453</v>
      </c>
      <c r="K488" t="str">
        <f t="shared" si="87"/>
        <v>Food and Beverages</v>
      </c>
      <c r="L488" t="str">
        <f t="shared" si="88"/>
        <v>Others</v>
      </c>
      <c r="M488" t="s">
        <v>38</v>
      </c>
      <c r="N488" t="str">
        <f t="shared" si="89"/>
        <v>Python</v>
      </c>
      <c r="O488" t="str">
        <f t="shared" si="90"/>
        <v>Python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tr">
        <f t="shared" si="91"/>
        <v>Good Work/Life Balance</v>
      </c>
      <c r="Y488" t="str">
        <f t="shared" si="92"/>
        <v>Good Work/Life Balance</v>
      </c>
      <c r="Z488" t="s">
        <v>41</v>
      </c>
      <c r="AA488">
        <v>28</v>
      </c>
      <c r="AB488" t="s">
        <v>151</v>
      </c>
      <c r="AC488" t="str">
        <f t="shared" si="93"/>
        <v>India</v>
      </c>
      <c r="AD488" t="str">
        <f t="shared" si="94"/>
        <v>India</v>
      </c>
      <c r="AE488" t="s">
        <v>241</v>
      </c>
      <c r="AF488" t="s">
        <v>52</v>
      </c>
      <c r="AG488" t="str">
        <f t="shared" si="84"/>
        <v>Asian or Asian American</v>
      </c>
      <c r="AH488" t="str">
        <f t="shared" si="95"/>
        <v>Asian or Asian American</v>
      </c>
    </row>
    <row r="489" spans="1:34" x14ac:dyDescent="0.25">
      <c r="A489" t="s">
        <v>1454</v>
      </c>
      <c r="B489" t="s">
        <v>1377</v>
      </c>
      <c r="C489" t="s">
        <v>772</v>
      </c>
      <c r="D489" t="s">
        <v>273</v>
      </c>
      <c r="E489" t="s">
        <v>34</v>
      </c>
      <c r="F489" t="str">
        <f t="shared" si="85"/>
        <v>Data Analyst</v>
      </c>
      <c r="G489" t="str">
        <f t="shared" si="86"/>
        <v>Data Analyst</v>
      </c>
      <c r="H489" t="s">
        <v>35</v>
      </c>
      <c r="I489" t="s">
        <v>57</v>
      </c>
      <c r="J489" t="s">
        <v>107</v>
      </c>
      <c r="K489" t="str">
        <f t="shared" si="87"/>
        <v>Tech</v>
      </c>
      <c r="L489" t="str">
        <f t="shared" si="88"/>
        <v>Tech</v>
      </c>
      <c r="M489" t="s">
        <v>38</v>
      </c>
      <c r="N489" t="str">
        <f t="shared" si="89"/>
        <v>Python</v>
      </c>
      <c r="O489" t="str">
        <f t="shared" si="90"/>
        <v>Python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tr">
        <f t="shared" si="91"/>
        <v>Better Salary</v>
      </c>
      <c r="Y489" t="str">
        <f t="shared" si="92"/>
        <v>Better Salary</v>
      </c>
      <c r="Z489" t="s">
        <v>41</v>
      </c>
      <c r="AA489">
        <v>25</v>
      </c>
      <c r="AB489" t="s">
        <v>61</v>
      </c>
      <c r="AC489" t="str">
        <f t="shared" si="93"/>
        <v>Nigeria</v>
      </c>
      <c r="AD489" t="str">
        <f t="shared" si="94"/>
        <v>Nigeria</v>
      </c>
      <c r="AE489" t="s">
        <v>231</v>
      </c>
      <c r="AF489" t="s">
        <v>62</v>
      </c>
      <c r="AG489" t="str">
        <f t="shared" si="84"/>
        <v>Black or African American</v>
      </c>
      <c r="AH489" t="str">
        <f t="shared" si="95"/>
        <v>Black or African American</v>
      </c>
    </row>
    <row r="490" spans="1:34" x14ac:dyDescent="0.25">
      <c r="A490" t="s">
        <v>1455</v>
      </c>
      <c r="B490" t="s">
        <v>1377</v>
      </c>
      <c r="C490" t="s">
        <v>1456</v>
      </c>
      <c r="D490" t="s">
        <v>200</v>
      </c>
      <c r="E490" t="s">
        <v>34</v>
      </c>
      <c r="F490" t="str">
        <f t="shared" si="85"/>
        <v>Data Analyst</v>
      </c>
      <c r="G490" t="str">
        <f t="shared" si="86"/>
        <v>Data Analyst</v>
      </c>
      <c r="H490" t="s">
        <v>47</v>
      </c>
      <c r="I490" t="s">
        <v>57</v>
      </c>
      <c r="J490" t="s">
        <v>37</v>
      </c>
      <c r="K490" t="str">
        <f t="shared" si="87"/>
        <v>Healthcare</v>
      </c>
      <c r="L490" t="str">
        <f t="shared" si="88"/>
        <v>Healthcare</v>
      </c>
      <c r="M490" t="s">
        <v>38</v>
      </c>
      <c r="N490" t="str">
        <f t="shared" si="89"/>
        <v>Python</v>
      </c>
      <c r="O490" t="str">
        <f t="shared" si="90"/>
        <v>Python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tr">
        <f t="shared" si="91"/>
        <v>Better Salary</v>
      </c>
      <c r="Y490" t="str">
        <f t="shared" si="92"/>
        <v>Better Salary</v>
      </c>
      <c r="Z490" t="s">
        <v>41</v>
      </c>
      <c r="AA490">
        <v>32</v>
      </c>
      <c r="AB490" t="s">
        <v>113</v>
      </c>
      <c r="AC490" t="str">
        <f t="shared" si="93"/>
        <v>United Kingdom</v>
      </c>
      <c r="AD490" t="str">
        <f t="shared" si="94"/>
        <v>United Kingdom</v>
      </c>
      <c r="AE490" t="s">
        <v>241</v>
      </c>
      <c r="AF490" t="s">
        <v>95</v>
      </c>
      <c r="AG490" t="str">
        <f t="shared" si="84"/>
        <v>Hispanic or Latino</v>
      </c>
      <c r="AH490" t="str">
        <f t="shared" si="95"/>
        <v>Hispanic or Latino</v>
      </c>
    </row>
    <row r="491" spans="1:34" x14ac:dyDescent="0.25">
      <c r="A491" t="s">
        <v>1457</v>
      </c>
      <c r="B491" t="s">
        <v>1377</v>
      </c>
      <c r="C491" t="s">
        <v>1458</v>
      </c>
      <c r="D491" t="s">
        <v>1459</v>
      </c>
      <c r="E491" t="s">
        <v>127</v>
      </c>
      <c r="F491" t="str">
        <f t="shared" si="85"/>
        <v>Student/Looking/None</v>
      </c>
      <c r="G491" t="str">
        <f t="shared" si="86"/>
        <v>Student/Looking/None</v>
      </c>
      <c r="H491" t="s">
        <v>35</v>
      </c>
      <c r="I491" t="s">
        <v>57</v>
      </c>
      <c r="J491" t="s">
        <v>49</v>
      </c>
      <c r="K491" t="str">
        <f t="shared" si="87"/>
        <v>Finance</v>
      </c>
      <c r="L491" t="str">
        <f t="shared" si="88"/>
        <v>Finance</v>
      </c>
      <c r="M491" t="s">
        <v>88</v>
      </c>
      <c r="N491" t="str">
        <f t="shared" si="89"/>
        <v>SQL</v>
      </c>
      <c r="O491" t="str">
        <f t="shared" si="90"/>
        <v>SQL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tr">
        <f t="shared" si="91"/>
        <v>Remote Work</v>
      </c>
      <c r="Y491" t="str">
        <f t="shared" si="92"/>
        <v>Remote Work</v>
      </c>
      <c r="Z491" t="s">
        <v>41</v>
      </c>
      <c r="AA491">
        <v>33</v>
      </c>
      <c r="AB491" t="s">
        <v>1460</v>
      </c>
      <c r="AC491" t="str">
        <f t="shared" si="93"/>
        <v>Uruguay</v>
      </c>
      <c r="AD491" t="str">
        <f t="shared" si="94"/>
        <v>Others</v>
      </c>
      <c r="AE491" t="s">
        <v>241</v>
      </c>
      <c r="AF491" t="s">
        <v>43</v>
      </c>
      <c r="AG491" t="str">
        <f t="shared" si="84"/>
        <v>White or Caucasian</v>
      </c>
      <c r="AH491" t="str">
        <f t="shared" si="95"/>
        <v>White or Caucasian</v>
      </c>
    </row>
    <row r="492" spans="1:34" x14ac:dyDescent="0.25">
      <c r="A492" t="s">
        <v>1461</v>
      </c>
      <c r="B492" t="s">
        <v>1377</v>
      </c>
      <c r="C492" t="s">
        <v>849</v>
      </c>
      <c r="D492" t="s">
        <v>1462</v>
      </c>
      <c r="E492" t="s">
        <v>34</v>
      </c>
      <c r="F492" t="str">
        <f t="shared" si="85"/>
        <v>Data Analyst</v>
      </c>
      <c r="G492" t="str">
        <f t="shared" si="86"/>
        <v>Data Analyst</v>
      </c>
      <c r="H492" t="s">
        <v>47</v>
      </c>
      <c r="I492" t="s">
        <v>48</v>
      </c>
      <c r="J492" t="s">
        <v>1463</v>
      </c>
      <c r="K492" t="str">
        <f t="shared" si="87"/>
        <v>Government Administration</v>
      </c>
      <c r="L492" t="str">
        <f t="shared" si="88"/>
        <v>Others</v>
      </c>
      <c r="M492" t="s">
        <v>38</v>
      </c>
      <c r="N492" t="str">
        <f t="shared" si="89"/>
        <v>Python</v>
      </c>
      <c r="O492" t="str">
        <f t="shared" si="90"/>
        <v>Python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tr">
        <f t="shared" si="91"/>
        <v>Remote Work</v>
      </c>
      <c r="Y492" t="str">
        <f t="shared" si="92"/>
        <v>Remote Work</v>
      </c>
      <c r="Z492" t="s">
        <v>41</v>
      </c>
      <c r="AA492">
        <v>23</v>
      </c>
      <c r="AB492" t="s">
        <v>51</v>
      </c>
      <c r="AC492" t="str">
        <f t="shared" si="93"/>
        <v>Canada</v>
      </c>
      <c r="AD492" t="str">
        <f t="shared" si="94"/>
        <v>Canada</v>
      </c>
      <c r="AE492" t="s">
        <v>244</v>
      </c>
      <c r="AF492" t="s">
        <v>62</v>
      </c>
      <c r="AG492" t="str">
        <f t="shared" si="84"/>
        <v>Black or African American</v>
      </c>
      <c r="AH492" t="str">
        <f t="shared" si="95"/>
        <v>Black or African American</v>
      </c>
    </row>
    <row r="493" spans="1:34" x14ac:dyDescent="0.25">
      <c r="A493" t="s">
        <v>1464</v>
      </c>
      <c r="B493" t="s">
        <v>1377</v>
      </c>
      <c r="C493" t="s">
        <v>1465</v>
      </c>
      <c r="D493" t="s">
        <v>885</v>
      </c>
      <c r="E493" t="s">
        <v>127</v>
      </c>
      <c r="F493" t="str">
        <f t="shared" si="85"/>
        <v>Student/Looking/None</v>
      </c>
      <c r="G493" t="str">
        <f t="shared" si="86"/>
        <v>Student/Looking/None</v>
      </c>
      <c r="H493" t="s">
        <v>35</v>
      </c>
      <c r="I493" t="s">
        <v>57</v>
      </c>
      <c r="J493" t="s">
        <v>49</v>
      </c>
      <c r="K493" t="str">
        <f t="shared" si="87"/>
        <v>Finance</v>
      </c>
      <c r="L493" t="str">
        <f t="shared" si="88"/>
        <v>Finance</v>
      </c>
      <c r="M493" t="s">
        <v>50</v>
      </c>
      <c r="N493" t="str">
        <f t="shared" si="89"/>
        <v>R</v>
      </c>
      <c r="O493" t="str">
        <f t="shared" si="90"/>
        <v>R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tr">
        <f t="shared" si="91"/>
        <v>Remote Work</v>
      </c>
      <c r="Y493" t="str">
        <f t="shared" si="92"/>
        <v>Remote Work</v>
      </c>
      <c r="Z493" t="s">
        <v>69</v>
      </c>
      <c r="AA493">
        <v>40</v>
      </c>
      <c r="AB493" t="s">
        <v>61</v>
      </c>
      <c r="AC493" t="str">
        <f t="shared" si="93"/>
        <v>Nigeria</v>
      </c>
      <c r="AD493" t="str">
        <f t="shared" si="94"/>
        <v>Nigeria</v>
      </c>
      <c r="AE493" t="s">
        <v>241</v>
      </c>
      <c r="AF493" t="s">
        <v>62</v>
      </c>
      <c r="AG493" t="str">
        <f t="shared" si="84"/>
        <v>Black or African American</v>
      </c>
      <c r="AH493" t="str">
        <f t="shared" si="95"/>
        <v>Black or African American</v>
      </c>
    </row>
    <row r="494" spans="1:34" x14ac:dyDescent="0.25">
      <c r="A494" t="s">
        <v>1466</v>
      </c>
      <c r="B494" t="s">
        <v>1377</v>
      </c>
      <c r="C494" t="s">
        <v>1467</v>
      </c>
      <c r="D494" t="s">
        <v>214</v>
      </c>
      <c r="E494" t="s">
        <v>34</v>
      </c>
      <c r="F494" t="str">
        <f t="shared" si="85"/>
        <v>Data Analyst</v>
      </c>
      <c r="G494" t="str">
        <f t="shared" si="86"/>
        <v>Data Analyst</v>
      </c>
      <c r="H494" t="s">
        <v>35</v>
      </c>
      <c r="I494" t="s">
        <v>48</v>
      </c>
      <c r="J494" t="s">
        <v>1468</v>
      </c>
      <c r="K494" t="str">
        <f t="shared" si="87"/>
        <v>Outsourcing</v>
      </c>
      <c r="L494" t="str">
        <f t="shared" si="88"/>
        <v>Others</v>
      </c>
      <c r="M494" t="s">
        <v>38</v>
      </c>
      <c r="N494" t="str">
        <f t="shared" si="89"/>
        <v>Python</v>
      </c>
      <c r="O494" t="str">
        <f t="shared" si="90"/>
        <v>Python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tr">
        <f t="shared" si="91"/>
        <v>Better Salary</v>
      </c>
      <c r="Y494" t="str">
        <f t="shared" si="92"/>
        <v>Better Salary</v>
      </c>
      <c r="Z494" t="s">
        <v>69</v>
      </c>
      <c r="AA494">
        <v>28</v>
      </c>
      <c r="AB494" t="s">
        <v>113</v>
      </c>
      <c r="AC494" t="str">
        <f t="shared" si="93"/>
        <v>United Kingdom</v>
      </c>
      <c r="AD494" t="str">
        <f t="shared" si="94"/>
        <v>United Kingdom</v>
      </c>
      <c r="AE494" t="s">
        <v>241</v>
      </c>
      <c r="AF494" t="s">
        <v>52</v>
      </c>
      <c r="AG494" t="str">
        <f t="shared" si="84"/>
        <v>Asian or Asian American</v>
      </c>
      <c r="AH494" t="str">
        <f t="shared" si="95"/>
        <v>Asian or Asian American</v>
      </c>
    </row>
    <row r="495" spans="1:34" x14ac:dyDescent="0.25">
      <c r="A495" t="s">
        <v>1469</v>
      </c>
      <c r="B495" t="s">
        <v>1377</v>
      </c>
      <c r="C495" t="s">
        <v>1470</v>
      </c>
      <c r="D495" t="s">
        <v>1471</v>
      </c>
      <c r="E495" t="s">
        <v>34</v>
      </c>
      <c r="F495" t="str">
        <f t="shared" si="85"/>
        <v>Data Analyst</v>
      </c>
      <c r="G495" t="str">
        <f t="shared" si="86"/>
        <v>Data Analyst</v>
      </c>
      <c r="H495" t="s">
        <v>47</v>
      </c>
      <c r="I495" t="s">
        <v>57</v>
      </c>
      <c r="J495" t="s">
        <v>716</v>
      </c>
      <c r="K495" t="str">
        <f t="shared" si="87"/>
        <v>Real Estate</v>
      </c>
      <c r="L495" t="str">
        <f t="shared" si="88"/>
        <v>Real Estate</v>
      </c>
      <c r="M495" t="s">
        <v>50</v>
      </c>
      <c r="N495" t="str">
        <f t="shared" si="89"/>
        <v>R</v>
      </c>
      <c r="O495" t="str">
        <f t="shared" si="90"/>
        <v>R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tr">
        <f t="shared" si="91"/>
        <v>Remote Work</v>
      </c>
      <c r="Y495" t="str">
        <f t="shared" si="92"/>
        <v>Remote Work</v>
      </c>
      <c r="Z495" t="s">
        <v>41</v>
      </c>
      <c r="AA495">
        <v>26</v>
      </c>
      <c r="AB495" t="s">
        <v>61</v>
      </c>
      <c r="AC495" t="str">
        <f t="shared" si="93"/>
        <v>Nigeria</v>
      </c>
      <c r="AD495" t="str">
        <f t="shared" si="94"/>
        <v>Nigeria</v>
      </c>
      <c r="AE495" t="s">
        <v>231</v>
      </c>
      <c r="AF495" t="s">
        <v>62</v>
      </c>
      <c r="AG495" t="str">
        <f t="shared" si="84"/>
        <v>Black or African American</v>
      </c>
      <c r="AH495" t="str">
        <f t="shared" si="95"/>
        <v>Black or African American</v>
      </c>
    </row>
    <row r="496" spans="1:34" x14ac:dyDescent="0.25">
      <c r="A496" t="s">
        <v>1472</v>
      </c>
      <c r="B496" t="s">
        <v>1377</v>
      </c>
      <c r="C496" t="s">
        <v>1473</v>
      </c>
      <c r="D496" t="s">
        <v>645</v>
      </c>
      <c r="E496" t="s">
        <v>1474</v>
      </c>
      <c r="F496" t="str">
        <f t="shared" si="85"/>
        <v>Technical consulta</v>
      </c>
      <c r="G496" t="str">
        <f t="shared" si="86"/>
        <v>Others</v>
      </c>
      <c r="H496" t="s">
        <v>35</v>
      </c>
      <c r="I496" t="s">
        <v>57</v>
      </c>
      <c r="J496" t="s">
        <v>107</v>
      </c>
      <c r="K496" t="str">
        <f t="shared" si="87"/>
        <v>Tech</v>
      </c>
      <c r="L496" t="str">
        <f t="shared" si="88"/>
        <v>Tech</v>
      </c>
      <c r="M496" t="s">
        <v>38</v>
      </c>
      <c r="N496" t="str">
        <f t="shared" si="89"/>
        <v>Python</v>
      </c>
      <c r="O496" t="str">
        <f t="shared" si="90"/>
        <v>Python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tr">
        <f t="shared" si="91"/>
        <v>Better Salary</v>
      </c>
      <c r="Y496" t="str">
        <f t="shared" si="92"/>
        <v>Better Salary</v>
      </c>
      <c r="Z496" t="s">
        <v>69</v>
      </c>
      <c r="AA496">
        <v>24</v>
      </c>
      <c r="AB496" t="s">
        <v>151</v>
      </c>
      <c r="AC496" t="str">
        <f t="shared" si="93"/>
        <v>India</v>
      </c>
      <c r="AD496" t="str">
        <f t="shared" si="94"/>
        <v>India</v>
      </c>
      <c r="AE496" t="s">
        <v>241</v>
      </c>
      <c r="AF496" t="s">
        <v>52</v>
      </c>
      <c r="AG496" t="str">
        <f t="shared" si="84"/>
        <v>Asian or Asian American</v>
      </c>
      <c r="AH496" t="str">
        <f t="shared" si="95"/>
        <v>Asian or Asian American</v>
      </c>
    </row>
    <row r="497" spans="1:34" x14ac:dyDescent="0.25">
      <c r="A497" t="s">
        <v>1475</v>
      </c>
      <c r="B497" t="s">
        <v>1377</v>
      </c>
      <c r="C497" t="s">
        <v>959</v>
      </c>
      <c r="D497" t="s">
        <v>269</v>
      </c>
      <c r="E497" t="s">
        <v>1476</v>
      </c>
      <c r="F497" t="str">
        <f t="shared" si="85"/>
        <v>Software Engineer, AI</v>
      </c>
      <c r="G497" t="str">
        <f t="shared" si="86"/>
        <v>Others</v>
      </c>
      <c r="H497" t="s">
        <v>35</v>
      </c>
      <c r="I497" t="s">
        <v>91</v>
      </c>
      <c r="J497" t="s">
        <v>49</v>
      </c>
      <c r="K497" t="str">
        <f t="shared" si="87"/>
        <v>Finance</v>
      </c>
      <c r="L497" t="str">
        <f t="shared" si="88"/>
        <v>Finance</v>
      </c>
      <c r="M497" t="s">
        <v>38</v>
      </c>
      <c r="N497" t="str">
        <f t="shared" si="89"/>
        <v>Python</v>
      </c>
      <c r="O497" t="str">
        <f t="shared" si="90"/>
        <v>Python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tr">
        <f t="shared" si="91"/>
        <v>Remote Work</v>
      </c>
      <c r="Y497" t="str">
        <f t="shared" si="92"/>
        <v>Remote Work</v>
      </c>
      <c r="Z497" t="s">
        <v>69</v>
      </c>
      <c r="AA497">
        <v>40</v>
      </c>
      <c r="AB497" t="s">
        <v>42</v>
      </c>
      <c r="AC497" t="str">
        <f t="shared" si="93"/>
        <v>United States</v>
      </c>
      <c r="AD497" t="str">
        <f t="shared" si="94"/>
        <v>United States</v>
      </c>
      <c r="AE497" t="s">
        <v>266</v>
      </c>
      <c r="AF497" t="s">
        <v>1477</v>
      </c>
      <c r="AG497" t="str">
        <f t="shared" si="84"/>
        <v>Bi-racial people should be able to check 2 options in 2022.</v>
      </c>
      <c r="AH497" t="str">
        <f t="shared" si="95"/>
        <v>Others</v>
      </c>
    </row>
    <row r="498" spans="1:34" x14ac:dyDescent="0.25">
      <c r="A498" t="s">
        <v>1478</v>
      </c>
      <c r="B498" t="s">
        <v>1377</v>
      </c>
      <c r="C498" t="s">
        <v>964</v>
      </c>
      <c r="D498" t="s">
        <v>273</v>
      </c>
      <c r="E498" t="s">
        <v>34</v>
      </c>
      <c r="F498" t="str">
        <f t="shared" si="85"/>
        <v>Data Analyst</v>
      </c>
      <c r="G498" t="str">
        <f t="shared" si="86"/>
        <v>Data Analyst</v>
      </c>
      <c r="H498" t="s">
        <v>35</v>
      </c>
      <c r="I498" t="s">
        <v>98</v>
      </c>
      <c r="J498" t="s">
        <v>397</v>
      </c>
      <c r="K498" t="str">
        <f t="shared" si="87"/>
        <v>Consulting</v>
      </c>
      <c r="L498" t="str">
        <f t="shared" si="88"/>
        <v>Others</v>
      </c>
      <c r="M498" t="s">
        <v>38</v>
      </c>
      <c r="N498" t="str">
        <f t="shared" si="89"/>
        <v>Python</v>
      </c>
      <c r="O498" t="str">
        <f t="shared" si="90"/>
        <v>Python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tr">
        <f t="shared" si="91"/>
        <v>Better Salary</v>
      </c>
      <c r="Y498" t="str">
        <f t="shared" si="92"/>
        <v>Better Salary</v>
      </c>
      <c r="Z498" t="s">
        <v>41</v>
      </c>
      <c r="AA498">
        <v>26</v>
      </c>
      <c r="AB498" t="s">
        <v>42</v>
      </c>
      <c r="AC498" t="str">
        <f t="shared" si="93"/>
        <v>United States</v>
      </c>
      <c r="AD498" t="str">
        <f t="shared" si="94"/>
        <v>United States</v>
      </c>
      <c r="AE498" t="s">
        <v>241</v>
      </c>
      <c r="AF498" t="s">
        <v>62</v>
      </c>
      <c r="AG498" t="str">
        <f t="shared" si="84"/>
        <v>Black or African American</v>
      </c>
      <c r="AH498" t="str">
        <f t="shared" si="95"/>
        <v>Black or African American</v>
      </c>
    </row>
    <row r="499" spans="1:34" x14ac:dyDescent="0.25">
      <c r="A499" t="s">
        <v>1479</v>
      </c>
      <c r="B499" t="s">
        <v>1377</v>
      </c>
      <c r="C499" t="s">
        <v>1480</v>
      </c>
      <c r="D499" t="s">
        <v>362</v>
      </c>
      <c r="E499" t="s">
        <v>81</v>
      </c>
      <c r="F499" t="str">
        <f t="shared" si="85"/>
        <v>Data Scientist</v>
      </c>
      <c r="G499" t="str">
        <f t="shared" si="86"/>
        <v>Data Scientist</v>
      </c>
      <c r="H499" t="s">
        <v>35</v>
      </c>
      <c r="I499" t="s">
        <v>48</v>
      </c>
      <c r="J499" t="s">
        <v>1481</v>
      </c>
      <c r="K499" t="str">
        <f t="shared" si="87"/>
        <v>Cobsukting</v>
      </c>
      <c r="L499" t="str">
        <f t="shared" si="88"/>
        <v>Others</v>
      </c>
      <c r="M499" t="s">
        <v>38</v>
      </c>
      <c r="N499" t="str">
        <f t="shared" si="89"/>
        <v>Python</v>
      </c>
      <c r="O499" t="str">
        <f t="shared" si="90"/>
        <v>Python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tr">
        <f t="shared" si="91"/>
        <v>Good Culture</v>
      </c>
      <c r="Y499" t="str">
        <f t="shared" si="92"/>
        <v>Good Culture</v>
      </c>
      <c r="Z499" t="s">
        <v>69</v>
      </c>
      <c r="AA499">
        <v>44</v>
      </c>
      <c r="AB499" t="s">
        <v>113</v>
      </c>
      <c r="AC499" t="str">
        <f t="shared" si="93"/>
        <v>United Kingdom</v>
      </c>
      <c r="AD499" t="str">
        <f t="shared" si="94"/>
        <v>United Kingdom</v>
      </c>
      <c r="AE499" t="s">
        <v>241</v>
      </c>
      <c r="AF499" t="s">
        <v>43</v>
      </c>
      <c r="AG499" t="str">
        <f t="shared" si="84"/>
        <v>White or Caucasian</v>
      </c>
      <c r="AH499" t="str">
        <f t="shared" si="95"/>
        <v>White or Caucasian</v>
      </c>
    </row>
    <row r="500" spans="1:34" x14ac:dyDescent="0.25">
      <c r="A500" t="s">
        <v>1482</v>
      </c>
      <c r="B500" t="s">
        <v>1377</v>
      </c>
      <c r="C500" t="s">
        <v>1483</v>
      </c>
      <c r="D500" t="s">
        <v>258</v>
      </c>
      <c r="E500" t="s">
        <v>1484</v>
      </c>
      <c r="F500" t="str">
        <f t="shared" si="85"/>
        <v>Systems configuration</v>
      </c>
      <c r="G500" t="str">
        <f t="shared" si="86"/>
        <v>Others</v>
      </c>
      <c r="H500" t="s">
        <v>35</v>
      </c>
      <c r="I500" t="s">
        <v>98</v>
      </c>
      <c r="J500" t="s">
        <v>842</v>
      </c>
      <c r="K500" t="str">
        <f t="shared" si="87"/>
        <v>Insurance</v>
      </c>
      <c r="L500" t="str">
        <f t="shared" si="88"/>
        <v>Others</v>
      </c>
      <c r="M500" t="s">
        <v>38</v>
      </c>
      <c r="N500" t="str">
        <f t="shared" si="89"/>
        <v>Python</v>
      </c>
      <c r="O500" t="str">
        <f t="shared" si="90"/>
        <v>Python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tr">
        <f t="shared" si="91"/>
        <v>Better Salary</v>
      </c>
      <c r="Y500" t="str">
        <f t="shared" si="92"/>
        <v>Better Salary</v>
      </c>
      <c r="Z500" t="s">
        <v>41</v>
      </c>
      <c r="AA500">
        <v>36</v>
      </c>
      <c r="AB500" t="s">
        <v>42</v>
      </c>
      <c r="AC500" t="str">
        <f t="shared" si="93"/>
        <v>United States</v>
      </c>
      <c r="AD500" t="str">
        <f t="shared" si="94"/>
        <v>United States</v>
      </c>
      <c r="AE500" t="s">
        <v>244</v>
      </c>
      <c r="AF500" t="s">
        <v>43</v>
      </c>
      <c r="AG500" t="str">
        <f t="shared" si="84"/>
        <v>White or Caucasian</v>
      </c>
      <c r="AH500" t="str">
        <f t="shared" si="95"/>
        <v>White or Caucasian</v>
      </c>
    </row>
    <row r="501" spans="1:34" x14ac:dyDescent="0.25">
      <c r="A501" t="s">
        <v>1485</v>
      </c>
      <c r="B501" t="s">
        <v>1377</v>
      </c>
      <c r="C501" t="s">
        <v>1338</v>
      </c>
      <c r="D501" t="s">
        <v>175</v>
      </c>
      <c r="E501" t="s">
        <v>259</v>
      </c>
      <c r="F501" t="str">
        <f t="shared" si="85"/>
        <v>Business Analyst</v>
      </c>
      <c r="G501" t="str">
        <f t="shared" si="86"/>
        <v>Business Analyst</v>
      </c>
      <c r="H501" t="s">
        <v>35</v>
      </c>
      <c r="I501" t="s">
        <v>57</v>
      </c>
      <c r="J501" t="s">
        <v>1486</v>
      </c>
      <c r="K501" t="str">
        <f t="shared" si="87"/>
        <v>Workforce</v>
      </c>
      <c r="L501" t="str">
        <f t="shared" si="88"/>
        <v>Others</v>
      </c>
      <c r="M501" t="s">
        <v>38</v>
      </c>
      <c r="N501" t="str">
        <f t="shared" si="89"/>
        <v>Python</v>
      </c>
      <c r="O501" t="str">
        <f t="shared" si="90"/>
        <v>Python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tr">
        <f t="shared" si="91"/>
        <v>Better Salary</v>
      </c>
      <c r="Y501" t="str">
        <f t="shared" si="92"/>
        <v>Better Salary</v>
      </c>
      <c r="Z501" t="s">
        <v>41</v>
      </c>
      <c r="AA501">
        <v>30</v>
      </c>
      <c r="AB501" t="s">
        <v>407</v>
      </c>
      <c r="AC501" t="str">
        <f t="shared" si="93"/>
        <v>Costa Rica</v>
      </c>
      <c r="AD501" t="str">
        <f t="shared" si="94"/>
        <v>Costa Rica</v>
      </c>
      <c r="AE501" t="s">
        <v>241</v>
      </c>
      <c r="AF501" t="s">
        <v>95</v>
      </c>
      <c r="AG501" t="str">
        <f t="shared" si="84"/>
        <v>Hispanic or Latino</v>
      </c>
      <c r="AH501" t="str">
        <f t="shared" si="95"/>
        <v>Hispanic or Latino</v>
      </c>
    </row>
    <row r="502" spans="1:34" x14ac:dyDescent="0.25">
      <c r="A502" t="s">
        <v>1487</v>
      </c>
      <c r="B502" t="s">
        <v>1377</v>
      </c>
      <c r="C502" t="s">
        <v>1488</v>
      </c>
      <c r="D502" t="s">
        <v>1489</v>
      </c>
      <c r="E502" t="s">
        <v>1490</v>
      </c>
      <c r="F502" t="str">
        <f t="shared" si="85"/>
        <v>Sales &amp; marketing</v>
      </c>
      <c r="G502" t="str">
        <f t="shared" si="86"/>
        <v>Others</v>
      </c>
      <c r="H502" t="s">
        <v>35</v>
      </c>
      <c r="I502" t="s">
        <v>57</v>
      </c>
      <c r="J502" t="s">
        <v>1491</v>
      </c>
      <c r="K502" t="str">
        <f t="shared" si="87"/>
        <v>General contractor</v>
      </c>
      <c r="L502" t="str">
        <f t="shared" si="88"/>
        <v>Others</v>
      </c>
      <c r="M502" t="s">
        <v>38</v>
      </c>
      <c r="N502" t="str">
        <f t="shared" si="89"/>
        <v>Python</v>
      </c>
      <c r="O502" t="str">
        <f t="shared" si="90"/>
        <v>Python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tr">
        <f t="shared" si="91"/>
        <v>Good Work/Life Balance</v>
      </c>
      <c r="Y502" t="str">
        <f t="shared" si="92"/>
        <v>Good Work/Life Balance</v>
      </c>
      <c r="Z502" t="s">
        <v>41</v>
      </c>
      <c r="AA502">
        <v>48</v>
      </c>
      <c r="AB502" t="s">
        <v>1492</v>
      </c>
      <c r="AC502" t="str">
        <f t="shared" si="93"/>
        <v>Indonesia</v>
      </c>
      <c r="AD502" t="str">
        <f t="shared" si="94"/>
        <v>Others</v>
      </c>
      <c r="AE502" t="s">
        <v>244</v>
      </c>
      <c r="AF502" t="s">
        <v>1493</v>
      </c>
      <c r="AG502" t="str">
        <f t="shared" si="84"/>
        <v>Melayu</v>
      </c>
      <c r="AH502" t="str">
        <f t="shared" si="95"/>
        <v>Others</v>
      </c>
    </row>
    <row r="503" spans="1:34" x14ac:dyDescent="0.25">
      <c r="A503" t="s">
        <v>1494</v>
      </c>
      <c r="B503" t="s">
        <v>1377</v>
      </c>
      <c r="C503" t="s">
        <v>1059</v>
      </c>
      <c r="D503" t="s">
        <v>1495</v>
      </c>
      <c r="E503" t="s">
        <v>34</v>
      </c>
      <c r="F503" t="str">
        <f t="shared" si="85"/>
        <v>Data Analyst</v>
      </c>
      <c r="G503" t="str">
        <f t="shared" si="86"/>
        <v>Data Analyst</v>
      </c>
      <c r="H503" t="s">
        <v>35</v>
      </c>
      <c r="I503" t="s">
        <v>48</v>
      </c>
      <c r="J503" t="s">
        <v>117</v>
      </c>
      <c r="K503" t="str">
        <f t="shared" si="87"/>
        <v>Construction</v>
      </c>
      <c r="L503" t="str">
        <f t="shared" si="88"/>
        <v>Construction</v>
      </c>
      <c r="M503" t="s">
        <v>1496</v>
      </c>
      <c r="N503" t="str">
        <f t="shared" si="89"/>
        <v>Php</v>
      </c>
      <c r="O503" t="str">
        <f t="shared" si="90"/>
        <v>Others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tr">
        <f t="shared" si="91"/>
        <v>Better Salary</v>
      </c>
      <c r="Y503" t="str">
        <f t="shared" si="92"/>
        <v>Better Salary</v>
      </c>
      <c r="Z503" t="s">
        <v>69</v>
      </c>
      <c r="AA503">
        <v>30</v>
      </c>
      <c r="AB503" t="s">
        <v>51</v>
      </c>
      <c r="AC503" t="str">
        <f t="shared" si="93"/>
        <v>Canada</v>
      </c>
      <c r="AD503" t="str">
        <f t="shared" si="94"/>
        <v>Canada</v>
      </c>
      <c r="AE503" t="s">
        <v>244</v>
      </c>
      <c r="AF503" t="s">
        <v>52</v>
      </c>
      <c r="AG503" t="str">
        <f t="shared" si="84"/>
        <v>Asian or Asian American</v>
      </c>
      <c r="AH503" t="str">
        <f t="shared" si="95"/>
        <v>Asian or Asian American</v>
      </c>
    </row>
    <row r="504" spans="1:34" x14ac:dyDescent="0.25">
      <c r="A504" t="s">
        <v>1497</v>
      </c>
      <c r="B504" t="s">
        <v>1377</v>
      </c>
      <c r="C504" t="s">
        <v>1498</v>
      </c>
      <c r="D504" t="s">
        <v>1499</v>
      </c>
      <c r="E504" t="s">
        <v>1500</v>
      </c>
      <c r="F504" t="str">
        <f t="shared" si="85"/>
        <v>RF Engineer</v>
      </c>
      <c r="G504" t="str">
        <f t="shared" si="86"/>
        <v>Others</v>
      </c>
      <c r="H504" t="s">
        <v>47</v>
      </c>
      <c r="I504" t="s">
        <v>57</v>
      </c>
      <c r="J504" t="s">
        <v>94</v>
      </c>
      <c r="K504" t="str">
        <f t="shared" si="87"/>
        <v>Telecommunication</v>
      </c>
      <c r="L504" t="str">
        <f t="shared" si="88"/>
        <v>Telecommunication</v>
      </c>
      <c r="M504" t="s">
        <v>38</v>
      </c>
      <c r="N504" t="str">
        <f t="shared" si="89"/>
        <v>Python</v>
      </c>
      <c r="O504" t="str">
        <f t="shared" si="90"/>
        <v>Python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tr">
        <f t="shared" si="91"/>
        <v>Better Salary</v>
      </c>
      <c r="Y504" t="str">
        <f t="shared" si="92"/>
        <v>Better Salary</v>
      </c>
      <c r="Z504" t="s">
        <v>41</v>
      </c>
      <c r="AA504">
        <v>28</v>
      </c>
      <c r="AB504" t="s">
        <v>151</v>
      </c>
      <c r="AC504" t="str">
        <f t="shared" si="93"/>
        <v>India</v>
      </c>
      <c r="AD504" t="str">
        <f t="shared" si="94"/>
        <v>India</v>
      </c>
      <c r="AE504" t="s">
        <v>241</v>
      </c>
      <c r="AF504" t="s">
        <v>1501</v>
      </c>
      <c r="AG504" t="str">
        <f t="shared" si="84"/>
        <v>Dravidian</v>
      </c>
      <c r="AH504" t="str">
        <f t="shared" si="95"/>
        <v>Others</v>
      </c>
    </row>
    <row r="505" spans="1:34" x14ac:dyDescent="0.25">
      <c r="A505" t="s">
        <v>1502</v>
      </c>
      <c r="B505" t="s">
        <v>1377</v>
      </c>
      <c r="C505" t="s">
        <v>1089</v>
      </c>
      <c r="D505" t="s">
        <v>258</v>
      </c>
      <c r="E505" t="s">
        <v>1503</v>
      </c>
      <c r="F505" t="str">
        <f t="shared" si="85"/>
        <v>Support Engineer</v>
      </c>
      <c r="G505" t="str">
        <f t="shared" si="86"/>
        <v>Others</v>
      </c>
      <c r="H505" t="s">
        <v>47</v>
      </c>
      <c r="I505" t="s">
        <v>57</v>
      </c>
      <c r="J505" t="s">
        <v>107</v>
      </c>
      <c r="K505" t="str">
        <f t="shared" si="87"/>
        <v>Tech</v>
      </c>
      <c r="L505" t="str">
        <f t="shared" si="88"/>
        <v>Tech</v>
      </c>
      <c r="M505" t="s">
        <v>38</v>
      </c>
      <c r="N505" t="str">
        <f t="shared" si="89"/>
        <v>Python</v>
      </c>
      <c r="O505" t="str">
        <f t="shared" si="90"/>
        <v>Python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tr">
        <f t="shared" si="91"/>
        <v>Better Salary</v>
      </c>
      <c r="Y505" t="str">
        <f t="shared" si="92"/>
        <v>Better Salary</v>
      </c>
      <c r="Z505" t="s">
        <v>41</v>
      </c>
      <c r="AA505">
        <v>25</v>
      </c>
      <c r="AB505" t="s">
        <v>151</v>
      </c>
      <c r="AC505" t="str">
        <f t="shared" si="93"/>
        <v>India</v>
      </c>
      <c r="AD505" t="str">
        <f t="shared" si="94"/>
        <v>India</v>
      </c>
      <c r="AE505" t="s">
        <v>241</v>
      </c>
      <c r="AF505" t="s">
        <v>204</v>
      </c>
      <c r="AG505" t="str">
        <f t="shared" si="84"/>
        <v>Indian</v>
      </c>
      <c r="AH505" t="str">
        <f t="shared" si="95"/>
        <v>Indian</v>
      </c>
    </row>
    <row r="506" spans="1:34" x14ac:dyDescent="0.25">
      <c r="A506" t="s">
        <v>1504</v>
      </c>
      <c r="B506" t="s">
        <v>1505</v>
      </c>
      <c r="C506" t="s">
        <v>1106</v>
      </c>
      <c r="D506" t="s">
        <v>46</v>
      </c>
      <c r="E506" t="s">
        <v>629</v>
      </c>
      <c r="F506" t="str">
        <f t="shared" si="85"/>
        <v>Analytics Engineer</v>
      </c>
      <c r="G506" t="str">
        <f t="shared" si="86"/>
        <v>Others</v>
      </c>
      <c r="H506" t="s">
        <v>47</v>
      </c>
      <c r="I506" t="s">
        <v>36</v>
      </c>
      <c r="J506" t="s">
        <v>107</v>
      </c>
      <c r="K506" t="str">
        <f t="shared" si="87"/>
        <v>Tech</v>
      </c>
      <c r="L506" t="str">
        <f t="shared" si="88"/>
        <v>Tech</v>
      </c>
      <c r="M506" t="s">
        <v>88</v>
      </c>
      <c r="N506" t="str">
        <f t="shared" si="89"/>
        <v>SQL</v>
      </c>
      <c r="O506" t="str">
        <f t="shared" si="90"/>
        <v>SQL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tr">
        <f t="shared" si="91"/>
        <v>Better Salary</v>
      </c>
      <c r="Y506" t="str">
        <f t="shared" si="92"/>
        <v>Better Salary</v>
      </c>
      <c r="Z506" t="s">
        <v>41</v>
      </c>
      <c r="AA506">
        <v>24</v>
      </c>
      <c r="AB506" t="s">
        <v>42</v>
      </c>
      <c r="AC506" t="str">
        <f t="shared" si="93"/>
        <v>United States</v>
      </c>
      <c r="AD506" t="str">
        <f t="shared" si="94"/>
        <v>United States</v>
      </c>
      <c r="AE506" t="s">
        <v>244</v>
      </c>
      <c r="AF506" t="s">
        <v>1404</v>
      </c>
      <c r="AG506" t="str">
        <f t="shared" si="84"/>
        <v>American Indian or Alaska Native</v>
      </c>
      <c r="AH506" t="str">
        <f t="shared" si="95"/>
        <v>Others</v>
      </c>
    </row>
    <row r="507" spans="1:34" x14ac:dyDescent="0.25">
      <c r="A507" t="s">
        <v>1506</v>
      </c>
      <c r="B507" t="s">
        <v>1505</v>
      </c>
      <c r="C507" t="s">
        <v>1383</v>
      </c>
      <c r="D507" t="s">
        <v>476</v>
      </c>
      <c r="E507" t="s">
        <v>34</v>
      </c>
      <c r="F507" t="str">
        <f t="shared" si="85"/>
        <v>Data Analyst</v>
      </c>
      <c r="G507" t="str">
        <f t="shared" si="86"/>
        <v>Data Analyst</v>
      </c>
      <c r="H507" t="s">
        <v>35</v>
      </c>
      <c r="I507" t="s">
        <v>48</v>
      </c>
      <c r="J507" t="s">
        <v>921</v>
      </c>
      <c r="K507" t="str">
        <f t="shared" si="87"/>
        <v>Nonprofit</v>
      </c>
      <c r="L507" t="str">
        <f t="shared" si="88"/>
        <v>Others</v>
      </c>
      <c r="M507" t="s">
        <v>38</v>
      </c>
      <c r="N507" t="str">
        <f t="shared" si="89"/>
        <v>Python</v>
      </c>
      <c r="O507" t="str">
        <f t="shared" si="90"/>
        <v>Python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tr">
        <f t="shared" si="91"/>
        <v>Better Salary</v>
      </c>
      <c r="Y507" t="str">
        <f t="shared" si="92"/>
        <v>Better Salary</v>
      </c>
      <c r="Z507" t="s">
        <v>41</v>
      </c>
      <c r="AA507">
        <v>31</v>
      </c>
      <c r="AB507" t="s">
        <v>42</v>
      </c>
      <c r="AC507" t="str">
        <f t="shared" si="93"/>
        <v>United States</v>
      </c>
      <c r="AD507" t="str">
        <f t="shared" si="94"/>
        <v>United States</v>
      </c>
      <c r="AE507" t="s">
        <v>241</v>
      </c>
      <c r="AF507" t="s">
        <v>62</v>
      </c>
      <c r="AG507" t="str">
        <f t="shared" si="84"/>
        <v>Black or African American</v>
      </c>
      <c r="AH507" t="str">
        <f t="shared" si="95"/>
        <v>Black or African American</v>
      </c>
    </row>
    <row r="508" spans="1:34" x14ac:dyDescent="0.25">
      <c r="A508" t="s">
        <v>1507</v>
      </c>
      <c r="B508" t="s">
        <v>1505</v>
      </c>
      <c r="C508" t="s">
        <v>1508</v>
      </c>
      <c r="D508" t="s">
        <v>145</v>
      </c>
      <c r="E508" t="s">
        <v>56</v>
      </c>
      <c r="F508" t="str">
        <f t="shared" si="85"/>
        <v>Data Engineer</v>
      </c>
      <c r="G508" t="str">
        <f t="shared" si="86"/>
        <v>Data Engineer</v>
      </c>
      <c r="H508" t="s">
        <v>47</v>
      </c>
      <c r="I508" t="s">
        <v>57</v>
      </c>
      <c r="J508" t="s">
        <v>716</v>
      </c>
      <c r="K508" t="str">
        <f t="shared" si="87"/>
        <v>Real Estate</v>
      </c>
      <c r="L508" t="str">
        <f t="shared" si="88"/>
        <v>Real Estate</v>
      </c>
      <c r="M508" t="s">
        <v>38</v>
      </c>
      <c r="N508" t="str">
        <f t="shared" si="89"/>
        <v>Python</v>
      </c>
      <c r="O508" t="str">
        <f t="shared" si="90"/>
        <v>Python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tr">
        <f t="shared" si="91"/>
        <v>Better Salary</v>
      </c>
      <c r="Y508" t="str">
        <f t="shared" si="92"/>
        <v>Better Salary</v>
      </c>
      <c r="Z508" t="s">
        <v>41</v>
      </c>
      <c r="AA508">
        <v>23</v>
      </c>
      <c r="AB508" t="s">
        <v>113</v>
      </c>
      <c r="AC508" t="str">
        <f t="shared" si="93"/>
        <v>United Kingdom</v>
      </c>
      <c r="AD508" t="str">
        <f t="shared" si="94"/>
        <v>United Kingdom</v>
      </c>
      <c r="AE508" t="s">
        <v>241</v>
      </c>
      <c r="AF508" t="s">
        <v>1509</v>
      </c>
      <c r="AG508" t="str">
        <f t="shared" si="84"/>
        <v>arab</v>
      </c>
      <c r="AH508" t="str">
        <f t="shared" si="95"/>
        <v>Others</v>
      </c>
    </row>
    <row r="509" spans="1:34" x14ac:dyDescent="0.25">
      <c r="A509" t="s">
        <v>1510</v>
      </c>
      <c r="B509" t="s">
        <v>1505</v>
      </c>
      <c r="C509" t="s">
        <v>1511</v>
      </c>
      <c r="D509" t="s">
        <v>858</v>
      </c>
      <c r="E509" t="s">
        <v>34</v>
      </c>
      <c r="F509" t="str">
        <f t="shared" si="85"/>
        <v>Data Analyst</v>
      </c>
      <c r="G509" t="str">
        <f t="shared" si="86"/>
        <v>Data Analyst</v>
      </c>
      <c r="H509" t="s">
        <v>47</v>
      </c>
      <c r="I509" t="s">
        <v>48</v>
      </c>
      <c r="J509" t="s">
        <v>1512</v>
      </c>
      <c r="K509" t="str">
        <f t="shared" si="87"/>
        <v>Police / Emergency Services</v>
      </c>
      <c r="L509" t="str">
        <f t="shared" si="88"/>
        <v>Others</v>
      </c>
      <c r="M509" t="s">
        <v>537</v>
      </c>
      <c r="N509" t="str">
        <f t="shared" si="89"/>
        <v>DAX</v>
      </c>
      <c r="O509" t="str">
        <f t="shared" si="90"/>
        <v>DAX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tr">
        <f t="shared" si="91"/>
        <v>Good Culture</v>
      </c>
      <c r="Y509" t="str">
        <f t="shared" si="92"/>
        <v>Good Culture</v>
      </c>
      <c r="Z509" t="s">
        <v>69</v>
      </c>
      <c r="AA509">
        <v>48</v>
      </c>
      <c r="AB509" t="s">
        <v>113</v>
      </c>
      <c r="AC509" t="str">
        <f t="shared" si="93"/>
        <v>United Kingdom</v>
      </c>
      <c r="AD509" t="str">
        <f t="shared" si="94"/>
        <v>United Kingdom</v>
      </c>
      <c r="AE509" t="s">
        <v>244</v>
      </c>
      <c r="AF509" t="s">
        <v>43</v>
      </c>
      <c r="AG509" t="str">
        <f t="shared" si="84"/>
        <v>White or Caucasian</v>
      </c>
      <c r="AH509" t="str">
        <f t="shared" si="95"/>
        <v>White or Caucasian</v>
      </c>
    </row>
    <row r="510" spans="1:34" x14ac:dyDescent="0.25">
      <c r="A510" t="s">
        <v>1513</v>
      </c>
      <c r="B510" t="s">
        <v>1505</v>
      </c>
      <c r="C510" t="s">
        <v>1514</v>
      </c>
      <c r="D510" t="s">
        <v>1241</v>
      </c>
      <c r="E510" t="s">
        <v>34</v>
      </c>
      <c r="F510" t="str">
        <f t="shared" si="85"/>
        <v>Data Analyst</v>
      </c>
      <c r="G510" t="str">
        <f t="shared" si="86"/>
        <v>Data Analyst</v>
      </c>
      <c r="H510" t="s">
        <v>35</v>
      </c>
      <c r="I510" t="s">
        <v>98</v>
      </c>
      <c r="J510" t="s">
        <v>37</v>
      </c>
      <c r="K510" t="str">
        <f t="shared" si="87"/>
        <v>Healthcare</v>
      </c>
      <c r="L510" t="str">
        <f t="shared" si="88"/>
        <v>Healthcare</v>
      </c>
      <c r="M510" t="s">
        <v>38</v>
      </c>
      <c r="N510" t="str">
        <f t="shared" si="89"/>
        <v>Python</v>
      </c>
      <c r="O510" t="str">
        <f t="shared" si="90"/>
        <v>Python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tr">
        <f t="shared" si="91"/>
        <v>Better Salary</v>
      </c>
      <c r="Y510" t="str">
        <f t="shared" si="92"/>
        <v>Better Salary</v>
      </c>
      <c r="Z510" t="s">
        <v>41</v>
      </c>
      <c r="AA510">
        <v>28</v>
      </c>
      <c r="AB510" t="s">
        <v>42</v>
      </c>
      <c r="AC510" t="str">
        <f t="shared" si="93"/>
        <v>United States</v>
      </c>
      <c r="AD510" t="str">
        <f t="shared" si="94"/>
        <v>United States</v>
      </c>
      <c r="AE510" t="s">
        <v>241</v>
      </c>
      <c r="AF510" t="s">
        <v>62</v>
      </c>
      <c r="AG510" t="str">
        <f t="shared" si="84"/>
        <v>Black or African American</v>
      </c>
      <c r="AH510" t="str">
        <f t="shared" si="95"/>
        <v>Black or African American</v>
      </c>
    </row>
    <row r="511" spans="1:34" x14ac:dyDescent="0.25">
      <c r="A511" t="s">
        <v>1515</v>
      </c>
      <c r="B511" t="s">
        <v>1505</v>
      </c>
      <c r="C511" t="s">
        <v>1516</v>
      </c>
      <c r="D511" t="s">
        <v>269</v>
      </c>
      <c r="E511" t="s">
        <v>34</v>
      </c>
      <c r="F511" t="str">
        <f t="shared" si="85"/>
        <v>Data Analyst</v>
      </c>
      <c r="G511" t="str">
        <f t="shared" si="86"/>
        <v>Data Analyst</v>
      </c>
      <c r="H511" t="s">
        <v>35</v>
      </c>
      <c r="I511" t="s">
        <v>48</v>
      </c>
      <c r="J511" t="s">
        <v>87</v>
      </c>
      <c r="K511" t="str">
        <f t="shared" si="87"/>
        <v>Retail</v>
      </c>
      <c r="L511" t="str">
        <f t="shared" si="88"/>
        <v>Retail</v>
      </c>
      <c r="M511" t="s">
        <v>38</v>
      </c>
      <c r="N511" t="str">
        <f t="shared" si="89"/>
        <v>Python</v>
      </c>
      <c r="O511" t="str">
        <f t="shared" si="90"/>
        <v>Python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tr">
        <f t="shared" si="91"/>
        <v>Better Salary</v>
      </c>
      <c r="Y511" t="str">
        <f t="shared" si="92"/>
        <v>Better Salary</v>
      </c>
      <c r="Z511" t="s">
        <v>41</v>
      </c>
      <c r="AA511">
        <v>32</v>
      </c>
      <c r="AB511" t="s">
        <v>113</v>
      </c>
      <c r="AC511" t="str">
        <f t="shared" si="93"/>
        <v>United Kingdom</v>
      </c>
      <c r="AD511" t="str">
        <f t="shared" si="94"/>
        <v>United Kingdom</v>
      </c>
      <c r="AE511" t="s">
        <v>244</v>
      </c>
      <c r="AF511" t="s">
        <v>95</v>
      </c>
      <c r="AG511" t="str">
        <f t="shared" si="84"/>
        <v>Hispanic or Latino</v>
      </c>
      <c r="AH511" t="str">
        <f t="shared" si="95"/>
        <v>Hispanic or Latino</v>
      </c>
    </row>
    <row r="512" spans="1:34" x14ac:dyDescent="0.25">
      <c r="A512" t="s">
        <v>1517</v>
      </c>
      <c r="B512" t="s">
        <v>1505</v>
      </c>
      <c r="C512" t="s">
        <v>1151</v>
      </c>
      <c r="D512" t="s">
        <v>1518</v>
      </c>
      <c r="E512" t="s">
        <v>81</v>
      </c>
      <c r="F512" t="str">
        <f t="shared" si="85"/>
        <v>Data Scientist</v>
      </c>
      <c r="G512" t="str">
        <f t="shared" si="86"/>
        <v>Data Scientist</v>
      </c>
      <c r="H512" t="s">
        <v>35</v>
      </c>
      <c r="I512" t="s">
        <v>48</v>
      </c>
      <c r="J512" t="s">
        <v>49</v>
      </c>
      <c r="K512" t="str">
        <f t="shared" si="87"/>
        <v>Finance</v>
      </c>
      <c r="L512" t="str">
        <f t="shared" si="88"/>
        <v>Finance</v>
      </c>
      <c r="M512" t="s">
        <v>38</v>
      </c>
      <c r="N512" t="str">
        <f t="shared" si="89"/>
        <v>Python</v>
      </c>
      <c r="O512" t="str">
        <f t="shared" si="90"/>
        <v>Python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tr">
        <f t="shared" si="91"/>
        <v>Better Salary</v>
      </c>
      <c r="Y512" t="str">
        <f t="shared" si="92"/>
        <v>Better Salary</v>
      </c>
      <c r="Z512" t="s">
        <v>41</v>
      </c>
      <c r="AA512">
        <v>30</v>
      </c>
      <c r="AB512" t="s">
        <v>1519</v>
      </c>
      <c r="AC512" t="str">
        <f t="shared" si="93"/>
        <v>Hong Kong</v>
      </c>
      <c r="AD512" t="str">
        <f t="shared" si="94"/>
        <v>Others</v>
      </c>
      <c r="AE512" t="s">
        <v>241</v>
      </c>
      <c r="AF512" t="s">
        <v>52</v>
      </c>
      <c r="AG512" t="str">
        <f t="shared" si="84"/>
        <v>Asian or Asian American</v>
      </c>
      <c r="AH512" t="str">
        <f t="shared" si="95"/>
        <v>Asian or Asian American</v>
      </c>
    </row>
    <row r="513" spans="1:34" x14ac:dyDescent="0.25">
      <c r="A513" t="s">
        <v>1520</v>
      </c>
      <c r="B513" t="s">
        <v>1505</v>
      </c>
      <c r="C513" t="s">
        <v>1171</v>
      </c>
      <c r="D513" t="s">
        <v>486</v>
      </c>
      <c r="E513" t="s">
        <v>34</v>
      </c>
      <c r="F513" t="str">
        <f t="shared" si="85"/>
        <v>Data Analyst</v>
      </c>
      <c r="G513" t="str">
        <f t="shared" si="86"/>
        <v>Data Analyst</v>
      </c>
      <c r="H513" t="s">
        <v>35</v>
      </c>
      <c r="I513" t="s">
        <v>57</v>
      </c>
      <c r="J513" t="s">
        <v>155</v>
      </c>
      <c r="K513" t="str">
        <f t="shared" si="87"/>
        <v>Insurance</v>
      </c>
      <c r="L513" t="str">
        <f t="shared" si="88"/>
        <v>Others</v>
      </c>
      <c r="M513" t="s">
        <v>38</v>
      </c>
      <c r="N513" t="str">
        <f t="shared" si="89"/>
        <v>Python</v>
      </c>
      <c r="O513" t="str">
        <f t="shared" si="90"/>
        <v>Python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tr">
        <f t="shared" si="91"/>
        <v>Good Work/Life Balance</v>
      </c>
      <c r="Y513" t="str">
        <f t="shared" si="92"/>
        <v>Good Work/Life Balance</v>
      </c>
      <c r="Z513" t="s">
        <v>41</v>
      </c>
      <c r="AA513">
        <v>32</v>
      </c>
      <c r="AB513" t="s">
        <v>1521</v>
      </c>
      <c r="AC513" t="str">
        <f t="shared" si="93"/>
        <v>TUNISIA</v>
      </c>
      <c r="AD513" t="str">
        <f t="shared" si="94"/>
        <v>Others</v>
      </c>
      <c r="AE513" t="s">
        <v>244</v>
      </c>
      <c r="AF513" t="s">
        <v>43</v>
      </c>
      <c r="AG513" t="str">
        <f t="shared" si="84"/>
        <v>White or Caucasian</v>
      </c>
      <c r="AH513" t="str">
        <f t="shared" si="95"/>
        <v>White or Caucasian</v>
      </c>
    </row>
    <row r="514" spans="1:34" x14ac:dyDescent="0.25">
      <c r="A514" t="s">
        <v>1522</v>
      </c>
      <c r="B514" t="s">
        <v>1505</v>
      </c>
      <c r="C514" t="s">
        <v>1523</v>
      </c>
      <c r="D514" t="s">
        <v>1524</v>
      </c>
      <c r="E514" t="s">
        <v>34</v>
      </c>
      <c r="F514" t="str">
        <f t="shared" si="85"/>
        <v>Data Analyst</v>
      </c>
      <c r="G514" t="str">
        <f t="shared" si="86"/>
        <v>Data Analyst</v>
      </c>
      <c r="H514" t="s">
        <v>35</v>
      </c>
      <c r="I514" t="s">
        <v>57</v>
      </c>
      <c r="J514" t="s">
        <v>107</v>
      </c>
      <c r="K514" t="str">
        <f t="shared" si="87"/>
        <v>Tech</v>
      </c>
      <c r="L514" t="str">
        <f t="shared" si="88"/>
        <v>Tech</v>
      </c>
      <c r="M514" t="s">
        <v>38</v>
      </c>
      <c r="N514" t="str">
        <f t="shared" si="89"/>
        <v>Python</v>
      </c>
      <c r="O514" t="str">
        <f t="shared" si="90"/>
        <v>Python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tr">
        <f t="shared" si="91"/>
        <v>Good Culture</v>
      </c>
      <c r="Y514" t="str">
        <f t="shared" si="92"/>
        <v>Good Culture</v>
      </c>
      <c r="Z514" t="s">
        <v>69</v>
      </c>
      <c r="AA514">
        <v>30</v>
      </c>
      <c r="AB514" t="s">
        <v>1525</v>
      </c>
      <c r="AC514" t="str">
        <f t="shared" si="93"/>
        <v>Sri lanka</v>
      </c>
      <c r="AD514" t="str">
        <f t="shared" si="94"/>
        <v>Others</v>
      </c>
      <c r="AE514" t="s">
        <v>244</v>
      </c>
      <c r="AF514" t="s">
        <v>1526</v>
      </c>
      <c r="AG514" t="str">
        <f t="shared" ref="AG514:AG577" si="96">IF(ISNUMBER(SEARCH("other",AF514)),IF(TRIM(MID(AF514, FIND(")",AF514)+1, LEN(AF514)))="", "Other", TRIM(MID(AF514, FIND(":",AF514)+1, LEN(AF514)))),AF514)</f>
        <v>Asian</v>
      </c>
      <c r="AH514" t="str">
        <f t="shared" si="95"/>
        <v>Others</v>
      </c>
    </row>
    <row r="515" spans="1:34" x14ac:dyDescent="0.25">
      <c r="A515" t="s">
        <v>1527</v>
      </c>
      <c r="B515" t="s">
        <v>1505</v>
      </c>
      <c r="C515" t="s">
        <v>1528</v>
      </c>
      <c r="D515" t="s">
        <v>1529</v>
      </c>
      <c r="E515" t="s">
        <v>34</v>
      </c>
      <c r="F515" t="str">
        <f t="shared" ref="F515:F578" si="97">IF(ISNUMBER(SEARCH("other",E515)),IF(TRIM(MID(E515, FIND(")",E515)+1, LEN(E515)))="", "Other", TRIM(MID(E515, FIND(":",E515)+1, LEN(E515)))),E515)</f>
        <v>Data Analyst</v>
      </c>
      <c r="G515" t="str">
        <f t="shared" ref="G515:G578" si="98">IF(COUNTIF(F:F,F515)&lt;5,"Others",F515)</f>
        <v>Data Analyst</v>
      </c>
      <c r="H515" t="s">
        <v>35</v>
      </c>
      <c r="I515" t="s">
        <v>57</v>
      </c>
      <c r="J515" t="s">
        <v>495</v>
      </c>
      <c r="K515" t="str">
        <f t="shared" ref="K515:K578" si="99">IF(ISNUMBER(SEARCH("other",J515)),IF(TRIM(MID(J515, FIND(")",J515)+1, LEN(J515)))="", "Other", TRIM(MID(J515, FIND(":",J515)+1, LEN(J515)))),J515)</f>
        <v>Manufacturing</v>
      </c>
      <c r="L515" t="str">
        <f t="shared" ref="L515:L578" si="100">IF(COUNTIF(K:K,K515)&lt;10,"Others",K515)</f>
        <v>Others</v>
      </c>
      <c r="M515" t="s">
        <v>38</v>
      </c>
      <c r="N515" t="str">
        <f t="shared" ref="N515:N578" si="101">IF(ISNUMBER(SEARCH("other",M515)),IF(TRIM(MID(M515, FIND("Other",M515)+1, LEN(M515)))="", "Other", TRIM(MID(M515, FIND(":",M515)+1, LEN(M515)))),M515)</f>
        <v>Python</v>
      </c>
      <c r="O515" t="str">
        <f t="shared" ref="O515:O578" si="102">IF(COUNTIF(N:N,N515)&lt;5,"Others",N515)</f>
        <v>Python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tr">
        <f t="shared" ref="X515:X578" si="103">IF(ISNUMBER(SEARCH("other",W515)),IF(TRIM(MID(W515, FIND(")",W515)+1, LEN(W515)))="", "Other", TRIM(MID(W515, FIND(":",W515)+1, LEN(W515)))),W515)</f>
        <v>Good Work/Life Balance</v>
      </c>
      <c r="Y515" t="str">
        <f t="shared" ref="Y515:Y578" si="104">IF(COUNTIF(X:X,X515)&lt;5,"Others",X515)</f>
        <v>Good Work/Life Balance</v>
      </c>
      <c r="Z515" t="s">
        <v>69</v>
      </c>
      <c r="AA515">
        <v>35</v>
      </c>
      <c r="AB515" t="s">
        <v>211</v>
      </c>
      <c r="AC515" t="str">
        <f t="shared" ref="AC515:AC578" si="105">IF(ISNUMBER(SEARCH("other",AB515)),IF(TRIM(MID(AB515, FIND(")",AB515)+1, LEN(AB515)))="", "Other", TRIM(MID(AB515, FIND(":",AB515)+1, LEN(AB515)))),AB515)</f>
        <v>Spain</v>
      </c>
      <c r="AD515" t="str">
        <f t="shared" ref="AD515:AD578" si="106">IF(COUNTIF(AC:AC,AC515)&lt;5,"Others",AC515)</f>
        <v>Spain</v>
      </c>
      <c r="AE515" t="s">
        <v>244</v>
      </c>
      <c r="AF515" t="s">
        <v>43</v>
      </c>
      <c r="AG515" t="str">
        <f t="shared" si="96"/>
        <v>White or Caucasian</v>
      </c>
      <c r="AH515" t="str">
        <f t="shared" ref="AH515:AH578" si="107">IF(COUNTIF(AG:AG,AG515)&lt;5,"Others",AG515)</f>
        <v>White or Caucasian</v>
      </c>
    </row>
    <row r="516" spans="1:34" x14ac:dyDescent="0.25">
      <c r="A516" t="s">
        <v>1530</v>
      </c>
      <c r="B516" t="s">
        <v>1505</v>
      </c>
      <c r="C516" t="s">
        <v>1531</v>
      </c>
      <c r="D516" t="s">
        <v>813</v>
      </c>
      <c r="E516" t="s">
        <v>127</v>
      </c>
      <c r="F516" t="str">
        <f t="shared" si="97"/>
        <v>Student/Looking/None</v>
      </c>
      <c r="G516" t="str">
        <f t="shared" si="98"/>
        <v>Student/Looking/None</v>
      </c>
      <c r="H516" t="s">
        <v>35</v>
      </c>
      <c r="I516" t="s">
        <v>57</v>
      </c>
      <c r="J516" t="s">
        <v>107</v>
      </c>
      <c r="K516" t="str">
        <f t="shared" si="99"/>
        <v>Tech</v>
      </c>
      <c r="L516" t="str">
        <f t="shared" si="100"/>
        <v>Tech</v>
      </c>
      <c r="M516" t="s">
        <v>50</v>
      </c>
      <c r="N516" t="str">
        <f t="shared" si="101"/>
        <v>R</v>
      </c>
      <c r="O516" t="str">
        <f t="shared" si="102"/>
        <v>R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tr">
        <f t="shared" si="103"/>
        <v>Remote Work</v>
      </c>
      <c r="Y516" t="str">
        <f t="shared" si="104"/>
        <v>Remote Work</v>
      </c>
      <c r="Z516" t="s">
        <v>69</v>
      </c>
      <c r="AA516">
        <v>38</v>
      </c>
      <c r="AB516" t="s">
        <v>113</v>
      </c>
      <c r="AC516" t="str">
        <f t="shared" si="105"/>
        <v>United Kingdom</v>
      </c>
      <c r="AD516" t="str">
        <f t="shared" si="106"/>
        <v>United Kingdom</v>
      </c>
      <c r="AE516" t="s">
        <v>244</v>
      </c>
      <c r="AF516" t="s">
        <v>62</v>
      </c>
      <c r="AG516" t="str">
        <f t="shared" si="96"/>
        <v>Black or African American</v>
      </c>
      <c r="AH516" t="str">
        <f t="shared" si="107"/>
        <v>Black or African American</v>
      </c>
    </row>
    <row r="517" spans="1:34" x14ac:dyDescent="0.25">
      <c r="A517" t="s">
        <v>1532</v>
      </c>
      <c r="B517" t="s">
        <v>1505</v>
      </c>
      <c r="C517" t="s">
        <v>339</v>
      </c>
      <c r="D517" t="s">
        <v>279</v>
      </c>
      <c r="E517" t="s">
        <v>1533</v>
      </c>
      <c r="F517" t="str">
        <f t="shared" si="97"/>
        <v>Account manager</v>
      </c>
      <c r="G517" t="str">
        <f t="shared" si="98"/>
        <v>Others</v>
      </c>
      <c r="H517" t="s">
        <v>35</v>
      </c>
      <c r="I517" t="s">
        <v>98</v>
      </c>
      <c r="J517" t="s">
        <v>1534</v>
      </c>
      <c r="K517" t="str">
        <f t="shared" si="99"/>
        <v>Consumer retail</v>
      </c>
      <c r="L517" t="str">
        <f t="shared" si="100"/>
        <v>Others</v>
      </c>
      <c r="M517" t="s">
        <v>38</v>
      </c>
      <c r="N517" t="str">
        <f t="shared" si="101"/>
        <v>Python</v>
      </c>
      <c r="O517" t="str">
        <f t="shared" si="102"/>
        <v>Python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tr">
        <f t="shared" si="103"/>
        <v>Good Culture</v>
      </c>
      <c r="Y517" t="str">
        <f t="shared" si="104"/>
        <v>Good Culture</v>
      </c>
      <c r="Z517" t="s">
        <v>69</v>
      </c>
      <c r="AA517">
        <v>30</v>
      </c>
      <c r="AB517" t="s">
        <v>42</v>
      </c>
      <c r="AC517" t="str">
        <f t="shared" si="105"/>
        <v>United States</v>
      </c>
      <c r="AD517" t="str">
        <f t="shared" si="106"/>
        <v>United States</v>
      </c>
      <c r="AE517" t="s">
        <v>244</v>
      </c>
      <c r="AF517" t="s">
        <v>52</v>
      </c>
      <c r="AG517" t="str">
        <f t="shared" si="96"/>
        <v>Asian or Asian American</v>
      </c>
      <c r="AH517" t="str">
        <f t="shared" si="107"/>
        <v>Asian or Asian American</v>
      </c>
    </row>
    <row r="518" spans="1:34" x14ac:dyDescent="0.25">
      <c r="A518" t="s">
        <v>1535</v>
      </c>
      <c r="B518" t="s">
        <v>1505</v>
      </c>
      <c r="C518" t="s">
        <v>1536</v>
      </c>
      <c r="D518" t="s">
        <v>471</v>
      </c>
      <c r="E518" t="s">
        <v>34</v>
      </c>
      <c r="F518" t="str">
        <f t="shared" si="97"/>
        <v>Data Analyst</v>
      </c>
      <c r="G518" t="str">
        <f t="shared" si="98"/>
        <v>Data Analyst</v>
      </c>
      <c r="H518" t="s">
        <v>35</v>
      </c>
      <c r="I518" t="s">
        <v>48</v>
      </c>
      <c r="J518" t="s">
        <v>107</v>
      </c>
      <c r="K518" t="str">
        <f t="shared" si="99"/>
        <v>Tech</v>
      </c>
      <c r="L518" t="str">
        <f t="shared" si="100"/>
        <v>Tech</v>
      </c>
      <c r="M518" t="s">
        <v>38</v>
      </c>
      <c r="N518" t="str">
        <f t="shared" si="101"/>
        <v>Python</v>
      </c>
      <c r="O518" t="str">
        <f t="shared" si="102"/>
        <v>Python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tr">
        <f t="shared" si="103"/>
        <v>Better Salary</v>
      </c>
      <c r="Y518" t="str">
        <f t="shared" si="104"/>
        <v>Better Salary</v>
      </c>
      <c r="Z518" t="s">
        <v>41</v>
      </c>
      <c r="AA518">
        <v>48</v>
      </c>
      <c r="AB518" t="s">
        <v>42</v>
      </c>
      <c r="AC518" t="str">
        <f t="shared" si="105"/>
        <v>United States</v>
      </c>
      <c r="AD518" t="str">
        <f t="shared" si="106"/>
        <v>United States</v>
      </c>
      <c r="AE518" t="s">
        <v>241</v>
      </c>
      <c r="AF518" t="s">
        <v>43</v>
      </c>
      <c r="AG518" t="str">
        <f t="shared" si="96"/>
        <v>White or Caucasian</v>
      </c>
      <c r="AH518" t="str">
        <f t="shared" si="107"/>
        <v>White or Caucasian</v>
      </c>
    </row>
    <row r="519" spans="1:34" x14ac:dyDescent="0.25">
      <c r="A519" t="s">
        <v>1537</v>
      </c>
      <c r="B519" t="s">
        <v>1505</v>
      </c>
      <c r="C519" t="s">
        <v>378</v>
      </c>
      <c r="D519" t="s">
        <v>471</v>
      </c>
      <c r="E519" t="s">
        <v>34</v>
      </c>
      <c r="F519" t="str">
        <f t="shared" si="97"/>
        <v>Data Analyst</v>
      </c>
      <c r="G519" t="str">
        <f t="shared" si="98"/>
        <v>Data Analyst</v>
      </c>
      <c r="H519" t="s">
        <v>35</v>
      </c>
      <c r="I519" t="s">
        <v>98</v>
      </c>
      <c r="J519" t="s">
        <v>49</v>
      </c>
      <c r="K519" t="str">
        <f t="shared" si="99"/>
        <v>Finance</v>
      </c>
      <c r="L519" t="str">
        <f t="shared" si="100"/>
        <v>Finance</v>
      </c>
      <c r="M519" t="s">
        <v>1538</v>
      </c>
      <c r="N519" t="str">
        <f t="shared" si="101"/>
        <v>SAS SQL</v>
      </c>
      <c r="O519" t="str">
        <f t="shared" si="102"/>
        <v>Others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tr">
        <f t="shared" si="103"/>
        <v>Remote Work</v>
      </c>
      <c r="Y519" t="str">
        <f t="shared" si="104"/>
        <v>Remote Work</v>
      </c>
      <c r="Z519" t="s">
        <v>41</v>
      </c>
      <c r="AA519">
        <v>32</v>
      </c>
      <c r="AB519" t="s">
        <v>51</v>
      </c>
      <c r="AC519" t="str">
        <f t="shared" si="105"/>
        <v>Canada</v>
      </c>
      <c r="AD519" t="str">
        <f t="shared" si="106"/>
        <v>Canada</v>
      </c>
      <c r="AE519" t="s">
        <v>244</v>
      </c>
      <c r="AF519" t="s">
        <v>52</v>
      </c>
      <c r="AG519" t="str">
        <f t="shared" si="96"/>
        <v>Asian or Asian American</v>
      </c>
      <c r="AH519" t="str">
        <f t="shared" si="107"/>
        <v>Asian or Asian American</v>
      </c>
    </row>
    <row r="520" spans="1:34" x14ac:dyDescent="0.25">
      <c r="A520" t="s">
        <v>1539</v>
      </c>
      <c r="B520" t="s">
        <v>1505</v>
      </c>
      <c r="C520" t="s">
        <v>1439</v>
      </c>
      <c r="D520" t="s">
        <v>1540</v>
      </c>
      <c r="E520" t="s">
        <v>1541</v>
      </c>
      <c r="F520" t="str">
        <f t="shared" si="97"/>
        <v>Incident Manager</v>
      </c>
      <c r="G520" t="str">
        <f t="shared" si="98"/>
        <v>Others</v>
      </c>
      <c r="H520" t="s">
        <v>35</v>
      </c>
      <c r="I520" t="s">
        <v>48</v>
      </c>
      <c r="J520" t="s">
        <v>94</v>
      </c>
      <c r="K520" t="str">
        <f t="shared" si="99"/>
        <v>Telecommunication</v>
      </c>
      <c r="L520" t="str">
        <f t="shared" si="100"/>
        <v>Telecommunication</v>
      </c>
      <c r="M520" t="s">
        <v>38</v>
      </c>
      <c r="N520" t="str">
        <f t="shared" si="101"/>
        <v>Python</v>
      </c>
      <c r="O520" t="str">
        <f t="shared" si="102"/>
        <v>Python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tr">
        <f t="shared" si="103"/>
        <v>Good Work/Life Balance</v>
      </c>
      <c r="Y520" t="str">
        <f t="shared" si="104"/>
        <v>Good Work/Life Balance</v>
      </c>
      <c r="Z520" t="s">
        <v>41</v>
      </c>
      <c r="AA520">
        <v>27</v>
      </c>
      <c r="AB520" t="s">
        <v>151</v>
      </c>
      <c r="AC520" t="str">
        <f t="shared" si="105"/>
        <v>India</v>
      </c>
      <c r="AD520" t="str">
        <f t="shared" si="106"/>
        <v>India</v>
      </c>
      <c r="AE520" t="s">
        <v>241</v>
      </c>
      <c r="AF520" t="s">
        <v>1404</v>
      </c>
      <c r="AG520" t="str">
        <f t="shared" si="96"/>
        <v>American Indian or Alaska Native</v>
      </c>
      <c r="AH520" t="str">
        <f t="shared" si="107"/>
        <v>Others</v>
      </c>
    </row>
    <row r="521" spans="1:34" x14ac:dyDescent="0.25">
      <c r="A521" t="s">
        <v>1542</v>
      </c>
      <c r="B521" t="s">
        <v>1505</v>
      </c>
      <c r="C521" t="s">
        <v>1543</v>
      </c>
      <c r="D521" t="s">
        <v>161</v>
      </c>
      <c r="E521" t="s">
        <v>1544</v>
      </c>
      <c r="F521" t="str">
        <f t="shared" si="97"/>
        <v>Product owner</v>
      </c>
      <c r="G521" t="str">
        <f t="shared" si="98"/>
        <v>Others</v>
      </c>
      <c r="H521" t="s">
        <v>47</v>
      </c>
      <c r="I521" t="s">
        <v>48</v>
      </c>
      <c r="J521" t="s">
        <v>107</v>
      </c>
      <c r="K521" t="str">
        <f t="shared" si="99"/>
        <v>Tech</v>
      </c>
      <c r="L521" t="str">
        <f t="shared" si="100"/>
        <v>Tech</v>
      </c>
      <c r="M521" t="s">
        <v>38</v>
      </c>
      <c r="N521" t="str">
        <f t="shared" si="101"/>
        <v>Python</v>
      </c>
      <c r="O521" t="str">
        <f t="shared" si="102"/>
        <v>Python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tr">
        <f t="shared" si="103"/>
        <v>The work</v>
      </c>
      <c r="Y521" t="str">
        <f t="shared" si="104"/>
        <v>Others</v>
      </c>
      <c r="Z521" t="s">
        <v>41</v>
      </c>
      <c r="AA521">
        <v>27</v>
      </c>
      <c r="AB521" t="s">
        <v>113</v>
      </c>
      <c r="AC521" t="str">
        <f t="shared" si="105"/>
        <v>United Kingdom</v>
      </c>
      <c r="AD521" t="str">
        <f t="shared" si="106"/>
        <v>United Kingdom</v>
      </c>
      <c r="AE521" t="s">
        <v>244</v>
      </c>
      <c r="AF521" t="s">
        <v>43</v>
      </c>
      <c r="AG521" t="str">
        <f t="shared" si="96"/>
        <v>White or Caucasian</v>
      </c>
      <c r="AH521" t="str">
        <f t="shared" si="107"/>
        <v>White or Caucasian</v>
      </c>
    </row>
    <row r="522" spans="1:34" x14ac:dyDescent="0.25">
      <c r="A522" t="s">
        <v>1546</v>
      </c>
      <c r="B522" t="s">
        <v>1505</v>
      </c>
      <c r="C522" t="s">
        <v>1547</v>
      </c>
      <c r="D522" t="s">
        <v>518</v>
      </c>
      <c r="E522" t="s">
        <v>127</v>
      </c>
      <c r="F522" t="str">
        <f t="shared" si="97"/>
        <v>Student/Looking/None</v>
      </c>
      <c r="G522" t="str">
        <f t="shared" si="98"/>
        <v>Student/Looking/None</v>
      </c>
      <c r="H522" t="s">
        <v>47</v>
      </c>
      <c r="I522" t="s">
        <v>57</v>
      </c>
      <c r="J522" t="s">
        <v>49</v>
      </c>
      <c r="K522" t="str">
        <f t="shared" si="99"/>
        <v>Finance</v>
      </c>
      <c r="L522" t="str">
        <f t="shared" si="100"/>
        <v>Finance</v>
      </c>
      <c r="M522" t="s">
        <v>38</v>
      </c>
      <c r="N522" t="str">
        <f t="shared" si="101"/>
        <v>Python</v>
      </c>
      <c r="O522" t="str">
        <f t="shared" si="102"/>
        <v>Python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tr">
        <f t="shared" si="103"/>
        <v>Remote Work</v>
      </c>
      <c r="Y522" t="str">
        <f t="shared" si="104"/>
        <v>Remote Work</v>
      </c>
      <c r="Z522" t="s">
        <v>41</v>
      </c>
      <c r="AA522">
        <v>24</v>
      </c>
      <c r="AB522" t="s">
        <v>1548</v>
      </c>
      <c r="AC522" t="str">
        <f t="shared" si="105"/>
        <v>Kenua</v>
      </c>
      <c r="AD522" t="str">
        <f t="shared" si="106"/>
        <v>Others</v>
      </c>
      <c r="AE522" t="s">
        <v>241</v>
      </c>
      <c r="AF522" t="s">
        <v>165</v>
      </c>
      <c r="AG522" t="str">
        <f t="shared" si="96"/>
        <v>African</v>
      </c>
      <c r="AH522" t="str">
        <f t="shared" si="107"/>
        <v>African</v>
      </c>
    </row>
    <row r="523" spans="1:34" x14ac:dyDescent="0.25">
      <c r="A523" t="s">
        <v>1549</v>
      </c>
      <c r="B523" t="s">
        <v>1505</v>
      </c>
      <c r="C523" t="s">
        <v>640</v>
      </c>
      <c r="D523" t="s">
        <v>1063</v>
      </c>
      <c r="E523" t="s">
        <v>81</v>
      </c>
      <c r="F523" t="str">
        <f t="shared" si="97"/>
        <v>Data Scientist</v>
      </c>
      <c r="G523" t="str">
        <f t="shared" si="98"/>
        <v>Data Scientist</v>
      </c>
      <c r="H523" t="s">
        <v>35</v>
      </c>
      <c r="I523" t="s">
        <v>67</v>
      </c>
      <c r="J523" t="s">
        <v>49</v>
      </c>
      <c r="K523" t="str">
        <f t="shared" si="99"/>
        <v>Finance</v>
      </c>
      <c r="L523" t="str">
        <f t="shared" si="100"/>
        <v>Finance</v>
      </c>
      <c r="M523" t="s">
        <v>50</v>
      </c>
      <c r="N523" t="str">
        <f t="shared" si="101"/>
        <v>R</v>
      </c>
      <c r="O523" t="str">
        <f t="shared" si="102"/>
        <v>R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tr">
        <f t="shared" si="103"/>
        <v>Better Salary</v>
      </c>
      <c r="Y523" t="str">
        <f t="shared" si="104"/>
        <v>Better Salary</v>
      </c>
      <c r="Z523" t="s">
        <v>41</v>
      </c>
      <c r="AA523">
        <v>42</v>
      </c>
      <c r="AB523" t="s">
        <v>42</v>
      </c>
      <c r="AC523" t="str">
        <f t="shared" si="105"/>
        <v>United States</v>
      </c>
      <c r="AD523" t="str">
        <f t="shared" si="106"/>
        <v>United States</v>
      </c>
      <c r="AE523" t="s">
        <v>328</v>
      </c>
      <c r="AF523" t="s">
        <v>52</v>
      </c>
      <c r="AG523" t="str">
        <f t="shared" si="96"/>
        <v>Asian or Asian American</v>
      </c>
      <c r="AH523" t="str">
        <f t="shared" si="107"/>
        <v>Asian or Asian American</v>
      </c>
    </row>
    <row r="524" spans="1:34" x14ac:dyDescent="0.25">
      <c r="A524" t="s">
        <v>1550</v>
      </c>
      <c r="B524" t="s">
        <v>1505</v>
      </c>
      <c r="C524" t="s">
        <v>1551</v>
      </c>
      <c r="D524" t="s">
        <v>694</v>
      </c>
      <c r="E524" t="s">
        <v>270</v>
      </c>
      <c r="F524" t="str">
        <f t="shared" si="97"/>
        <v>Business Analyst</v>
      </c>
      <c r="G524" t="str">
        <f t="shared" si="98"/>
        <v>Business Analyst</v>
      </c>
      <c r="H524" t="s">
        <v>47</v>
      </c>
      <c r="I524" t="s">
        <v>48</v>
      </c>
      <c r="J524" t="s">
        <v>107</v>
      </c>
      <c r="K524" t="str">
        <f t="shared" si="99"/>
        <v>Tech</v>
      </c>
      <c r="L524" t="str">
        <f t="shared" si="100"/>
        <v>Tech</v>
      </c>
      <c r="M524" t="s">
        <v>38</v>
      </c>
      <c r="N524" t="str">
        <f t="shared" si="101"/>
        <v>Python</v>
      </c>
      <c r="O524" t="str">
        <f t="shared" si="102"/>
        <v>Python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tr">
        <f t="shared" si="103"/>
        <v>Better Salary</v>
      </c>
      <c r="Y524" t="str">
        <f t="shared" si="104"/>
        <v>Better Salary</v>
      </c>
      <c r="Z524" t="s">
        <v>41</v>
      </c>
      <c r="AA524">
        <v>24</v>
      </c>
      <c r="AB524" t="s">
        <v>42</v>
      </c>
      <c r="AC524" t="str">
        <f t="shared" si="105"/>
        <v>United States</v>
      </c>
      <c r="AD524" t="str">
        <f t="shared" si="106"/>
        <v>United States</v>
      </c>
      <c r="AE524" t="s">
        <v>241</v>
      </c>
      <c r="AF524" t="s">
        <v>95</v>
      </c>
      <c r="AG524" t="str">
        <f t="shared" si="96"/>
        <v>Hispanic or Latino</v>
      </c>
      <c r="AH524" t="str">
        <f t="shared" si="107"/>
        <v>Hispanic or Latino</v>
      </c>
    </row>
    <row r="525" spans="1:34" x14ac:dyDescent="0.25">
      <c r="A525" t="s">
        <v>1552</v>
      </c>
      <c r="B525" t="s">
        <v>1505</v>
      </c>
      <c r="C525" t="s">
        <v>1553</v>
      </c>
      <c r="D525" t="s">
        <v>335</v>
      </c>
      <c r="E525" t="s">
        <v>794</v>
      </c>
      <c r="F525" t="str">
        <f t="shared" si="97"/>
        <v>Database Developer</v>
      </c>
      <c r="G525" t="str">
        <f t="shared" si="98"/>
        <v>Database Developer</v>
      </c>
      <c r="H525" t="s">
        <v>35</v>
      </c>
      <c r="I525" t="s">
        <v>57</v>
      </c>
      <c r="J525" t="s">
        <v>107</v>
      </c>
      <c r="K525" t="str">
        <f t="shared" si="99"/>
        <v>Tech</v>
      </c>
      <c r="L525" t="str">
        <f t="shared" si="100"/>
        <v>Tech</v>
      </c>
      <c r="M525" t="s">
        <v>38</v>
      </c>
      <c r="N525" t="str">
        <f t="shared" si="101"/>
        <v>Python</v>
      </c>
      <c r="O525" t="str">
        <f t="shared" si="102"/>
        <v>Python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tr">
        <f t="shared" si="103"/>
        <v>Better Salary</v>
      </c>
      <c r="Y525" t="str">
        <f t="shared" si="104"/>
        <v>Better Salary</v>
      </c>
      <c r="Z525" t="s">
        <v>41</v>
      </c>
      <c r="AA525">
        <v>23</v>
      </c>
      <c r="AB525" t="s">
        <v>151</v>
      </c>
      <c r="AC525" t="str">
        <f t="shared" si="105"/>
        <v>India</v>
      </c>
      <c r="AD525" t="str">
        <f t="shared" si="106"/>
        <v>India</v>
      </c>
      <c r="AE525" t="s">
        <v>241</v>
      </c>
      <c r="AF525" t="s">
        <v>52</v>
      </c>
      <c r="AG525" t="str">
        <f t="shared" si="96"/>
        <v>Asian or Asian American</v>
      </c>
      <c r="AH525" t="str">
        <f t="shared" si="107"/>
        <v>Asian or Asian American</v>
      </c>
    </row>
    <row r="526" spans="1:34" x14ac:dyDescent="0.25">
      <c r="A526" t="s">
        <v>1554</v>
      </c>
      <c r="B526" t="s">
        <v>1505</v>
      </c>
      <c r="C526" t="s">
        <v>710</v>
      </c>
      <c r="D526" t="s">
        <v>132</v>
      </c>
      <c r="E526" t="s">
        <v>34</v>
      </c>
      <c r="F526" t="str">
        <f t="shared" si="97"/>
        <v>Data Analyst</v>
      </c>
      <c r="G526" t="str">
        <f t="shared" si="98"/>
        <v>Data Analyst</v>
      </c>
      <c r="H526" t="s">
        <v>47</v>
      </c>
      <c r="I526" t="s">
        <v>57</v>
      </c>
      <c r="J526" t="s">
        <v>107</v>
      </c>
      <c r="K526" t="str">
        <f t="shared" si="99"/>
        <v>Tech</v>
      </c>
      <c r="L526" t="str">
        <f t="shared" si="100"/>
        <v>Tech</v>
      </c>
      <c r="M526" t="s">
        <v>38</v>
      </c>
      <c r="N526" t="str">
        <f t="shared" si="101"/>
        <v>Python</v>
      </c>
      <c r="O526" t="str">
        <f t="shared" si="102"/>
        <v>Python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tr">
        <f t="shared" si="103"/>
        <v>Better Salary</v>
      </c>
      <c r="Y526" t="str">
        <f t="shared" si="104"/>
        <v>Better Salary</v>
      </c>
      <c r="Z526" t="s">
        <v>41</v>
      </c>
      <c r="AA526">
        <v>26</v>
      </c>
      <c r="AB526" t="s">
        <v>151</v>
      </c>
      <c r="AC526" t="str">
        <f t="shared" si="105"/>
        <v>India</v>
      </c>
      <c r="AD526" t="str">
        <f t="shared" si="106"/>
        <v>India</v>
      </c>
      <c r="AE526" t="s">
        <v>241</v>
      </c>
      <c r="AF526" t="s">
        <v>52</v>
      </c>
      <c r="AG526" t="str">
        <f t="shared" si="96"/>
        <v>Asian or Asian American</v>
      </c>
      <c r="AH526" t="str">
        <f t="shared" si="107"/>
        <v>Asian or Asian American</v>
      </c>
    </row>
    <row r="527" spans="1:34" x14ac:dyDescent="0.25">
      <c r="A527" t="s">
        <v>1555</v>
      </c>
      <c r="B527" t="s">
        <v>1505</v>
      </c>
      <c r="C527" t="s">
        <v>731</v>
      </c>
      <c r="D527" t="s">
        <v>650</v>
      </c>
      <c r="E527" t="s">
        <v>34</v>
      </c>
      <c r="F527" t="str">
        <f t="shared" si="97"/>
        <v>Data Analyst</v>
      </c>
      <c r="G527" t="str">
        <f t="shared" si="98"/>
        <v>Data Analyst</v>
      </c>
      <c r="H527" t="s">
        <v>47</v>
      </c>
      <c r="I527" t="s">
        <v>48</v>
      </c>
      <c r="J527" t="s">
        <v>1556</v>
      </c>
      <c r="K527" t="str">
        <f t="shared" si="99"/>
        <v>Home and living</v>
      </c>
      <c r="L527" t="str">
        <f t="shared" si="100"/>
        <v>Others</v>
      </c>
      <c r="M527" t="s">
        <v>88</v>
      </c>
      <c r="N527" t="str">
        <f t="shared" si="101"/>
        <v>SQL</v>
      </c>
      <c r="O527" t="str">
        <f t="shared" si="102"/>
        <v>SQL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tr">
        <f t="shared" si="103"/>
        <v>Better Salary</v>
      </c>
      <c r="Y527" t="str">
        <f t="shared" si="104"/>
        <v>Better Salary</v>
      </c>
      <c r="Z527" t="s">
        <v>41</v>
      </c>
      <c r="AA527">
        <v>32</v>
      </c>
      <c r="AB527" t="s">
        <v>271</v>
      </c>
      <c r="AC527" t="str">
        <f t="shared" si="105"/>
        <v>Germany</v>
      </c>
      <c r="AD527" t="str">
        <f t="shared" si="106"/>
        <v>Germany</v>
      </c>
      <c r="AE527" t="s">
        <v>241</v>
      </c>
      <c r="AF527" t="s">
        <v>62</v>
      </c>
      <c r="AG527" t="str">
        <f t="shared" si="96"/>
        <v>Black or African American</v>
      </c>
      <c r="AH527" t="str">
        <f t="shared" si="107"/>
        <v>Black or African American</v>
      </c>
    </row>
    <row r="528" spans="1:34" x14ac:dyDescent="0.25">
      <c r="A528" t="s">
        <v>1557</v>
      </c>
      <c r="B528" t="s">
        <v>1505</v>
      </c>
      <c r="C528" t="s">
        <v>1558</v>
      </c>
      <c r="D528" t="s">
        <v>707</v>
      </c>
      <c r="E528" t="s">
        <v>1559</v>
      </c>
      <c r="F528" t="str">
        <f t="shared" si="97"/>
        <v>Presales Engineer</v>
      </c>
      <c r="G528" t="str">
        <f t="shared" si="98"/>
        <v>Others</v>
      </c>
      <c r="H528" t="s">
        <v>47</v>
      </c>
      <c r="I528" t="s">
        <v>57</v>
      </c>
      <c r="J528" t="s">
        <v>94</v>
      </c>
      <c r="K528" t="str">
        <f t="shared" si="99"/>
        <v>Telecommunication</v>
      </c>
      <c r="L528" t="str">
        <f t="shared" si="100"/>
        <v>Telecommunication</v>
      </c>
      <c r="M528" t="s">
        <v>38</v>
      </c>
      <c r="N528" t="str">
        <f t="shared" si="101"/>
        <v>Python</v>
      </c>
      <c r="O528" t="str">
        <f t="shared" si="102"/>
        <v>Python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tr">
        <f t="shared" si="103"/>
        <v>Good Work/Life Balance</v>
      </c>
      <c r="Y528" t="str">
        <f t="shared" si="104"/>
        <v>Good Work/Life Balance</v>
      </c>
      <c r="Z528" t="s">
        <v>41</v>
      </c>
      <c r="AA528">
        <v>35</v>
      </c>
      <c r="AB528" t="s">
        <v>1560</v>
      </c>
      <c r="AC528" t="str">
        <f t="shared" si="105"/>
        <v>Argentina</v>
      </c>
      <c r="AD528" t="str">
        <f t="shared" si="106"/>
        <v>Argentina</v>
      </c>
      <c r="AE528" t="s">
        <v>241</v>
      </c>
      <c r="AF528" t="s">
        <v>43</v>
      </c>
      <c r="AG528" t="str">
        <f t="shared" si="96"/>
        <v>White or Caucasian</v>
      </c>
      <c r="AH528" t="str">
        <f t="shared" si="107"/>
        <v>White or Caucasian</v>
      </c>
    </row>
    <row r="529" spans="1:34" x14ac:dyDescent="0.25">
      <c r="A529" t="s">
        <v>1561</v>
      </c>
      <c r="B529" t="s">
        <v>1505</v>
      </c>
      <c r="C529" t="s">
        <v>1283</v>
      </c>
      <c r="D529" t="s">
        <v>243</v>
      </c>
      <c r="E529" t="s">
        <v>34</v>
      </c>
      <c r="F529" t="str">
        <f t="shared" si="97"/>
        <v>Data Analyst</v>
      </c>
      <c r="G529" t="str">
        <f t="shared" si="98"/>
        <v>Data Analyst</v>
      </c>
      <c r="H529" t="s">
        <v>35</v>
      </c>
      <c r="I529" t="s">
        <v>36</v>
      </c>
      <c r="J529" t="s">
        <v>37</v>
      </c>
      <c r="K529" t="str">
        <f t="shared" si="99"/>
        <v>Healthcare</v>
      </c>
      <c r="L529" t="str">
        <f t="shared" si="100"/>
        <v>Healthcare</v>
      </c>
      <c r="M529" t="s">
        <v>38</v>
      </c>
      <c r="N529" t="str">
        <f t="shared" si="101"/>
        <v>Python</v>
      </c>
      <c r="O529" t="str">
        <f t="shared" si="102"/>
        <v>Python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tr">
        <f t="shared" si="103"/>
        <v>Good Work/Life Balance</v>
      </c>
      <c r="Y529" t="str">
        <f t="shared" si="104"/>
        <v>Good Work/Life Balance</v>
      </c>
      <c r="Z529" t="s">
        <v>41</v>
      </c>
      <c r="AA529">
        <v>41</v>
      </c>
      <c r="AB529" t="s">
        <v>42</v>
      </c>
      <c r="AC529" t="str">
        <f t="shared" si="105"/>
        <v>United States</v>
      </c>
      <c r="AD529" t="str">
        <f t="shared" si="106"/>
        <v>United States</v>
      </c>
      <c r="AE529" t="s">
        <v>231</v>
      </c>
      <c r="AF529" t="s">
        <v>43</v>
      </c>
      <c r="AG529" t="str">
        <f t="shared" si="96"/>
        <v>White or Caucasian</v>
      </c>
      <c r="AH529" t="str">
        <f t="shared" si="107"/>
        <v>White or Caucasian</v>
      </c>
    </row>
    <row r="530" spans="1:34" x14ac:dyDescent="0.25">
      <c r="A530" t="s">
        <v>1562</v>
      </c>
      <c r="B530" t="s">
        <v>1505</v>
      </c>
      <c r="C530" t="s">
        <v>782</v>
      </c>
      <c r="D530" t="s">
        <v>704</v>
      </c>
      <c r="E530" t="s">
        <v>1563</v>
      </c>
      <c r="F530" t="str">
        <f t="shared" si="97"/>
        <v>Predictive Analyst</v>
      </c>
      <c r="G530" t="str">
        <f t="shared" si="98"/>
        <v>Others</v>
      </c>
      <c r="H530" t="s">
        <v>47</v>
      </c>
      <c r="I530" t="s">
        <v>48</v>
      </c>
      <c r="J530" t="s">
        <v>112</v>
      </c>
      <c r="K530" t="str">
        <f t="shared" si="99"/>
        <v>Education</v>
      </c>
      <c r="L530" t="str">
        <f t="shared" si="100"/>
        <v>Education</v>
      </c>
      <c r="M530" t="s">
        <v>38</v>
      </c>
      <c r="N530" t="str">
        <f t="shared" si="101"/>
        <v>Python</v>
      </c>
      <c r="O530" t="str">
        <f t="shared" si="102"/>
        <v>Python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tr">
        <f t="shared" si="103"/>
        <v>Better Salary</v>
      </c>
      <c r="Y530" t="str">
        <f t="shared" si="104"/>
        <v>Better Salary</v>
      </c>
      <c r="Z530" t="s">
        <v>41</v>
      </c>
      <c r="AA530">
        <v>25</v>
      </c>
      <c r="AB530" t="s">
        <v>42</v>
      </c>
      <c r="AC530" t="str">
        <f t="shared" si="105"/>
        <v>United States</v>
      </c>
      <c r="AD530" t="str">
        <f t="shared" si="106"/>
        <v>United States</v>
      </c>
      <c r="AE530" t="s">
        <v>244</v>
      </c>
      <c r="AF530" t="s">
        <v>43</v>
      </c>
      <c r="AG530" t="str">
        <f t="shared" si="96"/>
        <v>White or Caucasian</v>
      </c>
      <c r="AH530" t="str">
        <f t="shared" si="107"/>
        <v>White or Caucasian</v>
      </c>
    </row>
    <row r="531" spans="1:34" x14ac:dyDescent="0.25">
      <c r="A531" t="s">
        <v>1564</v>
      </c>
      <c r="B531" t="s">
        <v>1505</v>
      </c>
      <c r="C531" t="s">
        <v>788</v>
      </c>
      <c r="D531" t="s">
        <v>126</v>
      </c>
      <c r="E531" t="s">
        <v>34</v>
      </c>
      <c r="F531" t="str">
        <f t="shared" si="97"/>
        <v>Data Analyst</v>
      </c>
      <c r="G531" t="str">
        <f t="shared" si="98"/>
        <v>Data Analyst</v>
      </c>
      <c r="H531" t="s">
        <v>35</v>
      </c>
      <c r="I531" t="s">
        <v>57</v>
      </c>
      <c r="J531" t="s">
        <v>117</v>
      </c>
      <c r="K531" t="str">
        <f t="shared" si="99"/>
        <v>Construction</v>
      </c>
      <c r="L531" t="str">
        <f t="shared" si="100"/>
        <v>Construction</v>
      </c>
      <c r="M531" t="s">
        <v>38</v>
      </c>
      <c r="N531" t="str">
        <f t="shared" si="101"/>
        <v>Python</v>
      </c>
      <c r="O531" t="str">
        <f t="shared" si="102"/>
        <v>Python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tr">
        <f t="shared" si="103"/>
        <v>Better Salary</v>
      </c>
      <c r="Y531" t="str">
        <f t="shared" si="104"/>
        <v>Better Salary</v>
      </c>
      <c r="Z531" t="s">
        <v>69</v>
      </c>
      <c r="AA531">
        <v>28</v>
      </c>
      <c r="AB531" t="s">
        <v>42</v>
      </c>
      <c r="AC531" t="str">
        <f t="shared" si="105"/>
        <v>United States</v>
      </c>
      <c r="AD531" t="str">
        <f t="shared" si="106"/>
        <v>United States</v>
      </c>
      <c r="AE531" t="s">
        <v>244</v>
      </c>
      <c r="AF531" t="s">
        <v>52</v>
      </c>
      <c r="AG531" t="str">
        <f t="shared" si="96"/>
        <v>Asian or Asian American</v>
      </c>
      <c r="AH531" t="str">
        <f t="shared" si="107"/>
        <v>Asian or Asian American</v>
      </c>
    </row>
    <row r="532" spans="1:34" x14ac:dyDescent="0.25">
      <c r="A532" t="s">
        <v>1565</v>
      </c>
      <c r="B532" t="s">
        <v>1505</v>
      </c>
      <c r="C532" t="s">
        <v>1566</v>
      </c>
      <c r="D532" t="s">
        <v>1567</v>
      </c>
      <c r="E532" t="s">
        <v>34</v>
      </c>
      <c r="F532" t="str">
        <f t="shared" si="97"/>
        <v>Data Analyst</v>
      </c>
      <c r="G532" t="str">
        <f t="shared" si="98"/>
        <v>Data Analyst</v>
      </c>
      <c r="H532" t="s">
        <v>35</v>
      </c>
      <c r="I532" t="s">
        <v>48</v>
      </c>
      <c r="J532" t="s">
        <v>798</v>
      </c>
      <c r="K532" t="str">
        <f t="shared" si="99"/>
        <v>Agriculture</v>
      </c>
      <c r="L532" t="str">
        <f t="shared" si="100"/>
        <v>Others</v>
      </c>
      <c r="M532" t="s">
        <v>38</v>
      </c>
      <c r="N532" t="str">
        <f t="shared" si="101"/>
        <v>Python</v>
      </c>
      <c r="O532" t="str">
        <f t="shared" si="102"/>
        <v>Python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tr">
        <f t="shared" si="103"/>
        <v>Better Salary</v>
      </c>
      <c r="Y532" t="str">
        <f t="shared" si="104"/>
        <v>Better Salary</v>
      </c>
      <c r="Z532" t="s">
        <v>41</v>
      </c>
      <c r="AA532">
        <v>29</v>
      </c>
      <c r="AB532" t="s">
        <v>42</v>
      </c>
      <c r="AC532" t="str">
        <f t="shared" si="105"/>
        <v>United States</v>
      </c>
      <c r="AD532" t="str">
        <f t="shared" si="106"/>
        <v>United States</v>
      </c>
      <c r="AE532" t="s">
        <v>241</v>
      </c>
      <c r="AF532" t="s">
        <v>43</v>
      </c>
      <c r="AG532" t="str">
        <f t="shared" si="96"/>
        <v>White or Caucasian</v>
      </c>
      <c r="AH532" t="str">
        <f t="shared" si="107"/>
        <v>White or Caucasian</v>
      </c>
    </row>
    <row r="533" spans="1:34" x14ac:dyDescent="0.25">
      <c r="A533" t="s">
        <v>1568</v>
      </c>
      <c r="B533" t="s">
        <v>1505</v>
      </c>
      <c r="C533" t="s">
        <v>861</v>
      </c>
      <c r="D533" t="s">
        <v>46</v>
      </c>
      <c r="E533" t="s">
        <v>127</v>
      </c>
      <c r="F533" t="str">
        <f t="shared" si="97"/>
        <v>Student/Looking/None</v>
      </c>
      <c r="G533" t="str">
        <f t="shared" si="98"/>
        <v>Student/Looking/None</v>
      </c>
      <c r="H533" t="s">
        <v>47</v>
      </c>
      <c r="I533" t="s">
        <v>57</v>
      </c>
      <c r="J533" t="s">
        <v>94</v>
      </c>
      <c r="K533" t="str">
        <f t="shared" si="99"/>
        <v>Telecommunication</v>
      </c>
      <c r="L533" t="str">
        <f t="shared" si="100"/>
        <v>Telecommunication</v>
      </c>
      <c r="M533" t="s">
        <v>38</v>
      </c>
      <c r="N533" t="str">
        <f t="shared" si="101"/>
        <v>Python</v>
      </c>
      <c r="O533" t="str">
        <f t="shared" si="102"/>
        <v>Python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tr">
        <f t="shared" si="103"/>
        <v>Better Salary</v>
      </c>
      <c r="Y533" t="str">
        <f t="shared" si="104"/>
        <v>Better Salary</v>
      </c>
      <c r="Z533" t="s">
        <v>41</v>
      </c>
      <c r="AA533">
        <v>19</v>
      </c>
      <c r="AB533" t="s">
        <v>42</v>
      </c>
      <c r="AC533" t="str">
        <f t="shared" si="105"/>
        <v>United States</v>
      </c>
      <c r="AD533" t="str">
        <f t="shared" si="106"/>
        <v>United States</v>
      </c>
      <c r="AE533" t="s">
        <v>231</v>
      </c>
      <c r="AF533" t="s">
        <v>43</v>
      </c>
      <c r="AG533" t="str">
        <f t="shared" si="96"/>
        <v>White or Caucasian</v>
      </c>
      <c r="AH533" t="str">
        <f t="shared" si="107"/>
        <v>White or Caucasian</v>
      </c>
    </row>
    <row r="534" spans="1:34" x14ac:dyDescent="0.25">
      <c r="A534" t="s">
        <v>1569</v>
      </c>
      <c r="B534" t="s">
        <v>1505</v>
      </c>
      <c r="C534" t="s">
        <v>1570</v>
      </c>
      <c r="D534" t="s">
        <v>85</v>
      </c>
      <c r="E534" t="s">
        <v>34</v>
      </c>
      <c r="F534" t="str">
        <f t="shared" si="97"/>
        <v>Data Analyst</v>
      </c>
      <c r="G534" t="str">
        <f t="shared" si="98"/>
        <v>Data Analyst</v>
      </c>
      <c r="H534" t="s">
        <v>35</v>
      </c>
      <c r="I534" t="s">
        <v>48</v>
      </c>
      <c r="J534" t="s">
        <v>842</v>
      </c>
      <c r="K534" t="str">
        <f t="shared" si="99"/>
        <v>Insurance</v>
      </c>
      <c r="L534" t="str">
        <f t="shared" si="100"/>
        <v>Others</v>
      </c>
      <c r="M534" t="s">
        <v>38</v>
      </c>
      <c r="N534" t="str">
        <f t="shared" si="101"/>
        <v>Python</v>
      </c>
      <c r="O534" t="str">
        <f t="shared" si="102"/>
        <v>Python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tr">
        <f t="shared" si="103"/>
        <v>Better Salary</v>
      </c>
      <c r="Y534" t="str">
        <f t="shared" si="104"/>
        <v>Better Salary</v>
      </c>
      <c r="Z534" t="s">
        <v>41</v>
      </c>
      <c r="AA534">
        <v>27</v>
      </c>
      <c r="AB534" t="s">
        <v>151</v>
      </c>
      <c r="AC534" t="str">
        <f t="shared" si="105"/>
        <v>India</v>
      </c>
      <c r="AD534" t="str">
        <f t="shared" si="106"/>
        <v>India</v>
      </c>
      <c r="AE534" t="s">
        <v>241</v>
      </c>
      <c r="AF534" t="s">
        <v>52</v>
      </c>
      <c r="AG534" t="str">
        <f t="shared" si="96"/>
        <v>Asian or Asian American</v>
      </c>
      <c r="AH534" t="str">
        <f t="shared" si="107"/>
        <v>Asian or Asian American</v>
      </c>
    </row>
    <row r="535" spans="1:34" x14ac:dyDescent="0.25">
      <c r="A535" t="s">
        <v>1571</v>
      </c>
      <c r="B535" t="s">
        <v>1505</v>
      </c>
      <c r="C535" t="s">
        <v>892</v>
      </c>
      <c r="D535" t="s">
        <v>190</v>
      </c>
      <c r="E535" t="s">
        <v>127</v>
      </c>
      <c r="F535" t="str">
        <f t="shared" si="97"/>
        <v>Student/Looking/None</v>
      </c>
      <c r="G535" t="str">
        <f t="shared" si="98"/>
        <v>Student/Looking/None</v>
      </c>
      <c r="H535" t="s">
        <v>35</v>
      </c>
      <c r="I535" t="s">
        <v>57</v>
      </c>
      <c r="J535" t="s">
        <v>49</v>
      </c>
      <c r="K535" t="str">
        <f t="shared" si="99"/>
        <v>Finance</v>
      </c>
      <c r="L535" t="str">
        <f t="shared" si="100"/>
        <v>Finance</v>
      </c>
      <c r="M535" t="s">
        <v>38</v>
      </c>
      <c r="N535" t="str">
        <f t="shared" si="101"/>
        <v>Python</v>
      </c>
      <c r="O535" t="str">
        <f t="shared" si="102"/>
        <v>Python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tr">
        <f t="shared" si="103"/>
        <v>Better Salary</v>
      </c>
      <c r="Y535" t="str">
        <f t="shared" si="104"/>
        <v>Better Salary</v>
      </c>
      <c r="Z535" t="s">
        <v>41</v>
      </c>
      <c r="AA535">
        <v>25</v>
      </c>
      <c r="AB535" t="s">
        <v>82</v>
      </c>
      <c r="AC535" t="str">
        <f t="shared" si="105"/>
        <v>Other</v>
      </c>
      <c r="AD535" t="str">
        <f t="shared" si="106"/>
        <v>Others</v>
      </c>
      <c r="AE535" t="s">
        <v>241</v>
      </c>
      <c r="AF535" t="s">
        <v>43</v>
      </c>
      <c r="AG535" t="str">
        <f t="shared" si="96"/>
        <v>White or Caucasian</v>
      </c>
      <c r="AH535" t="str">
        <f t="shared" si="107"/>
        <v>White or Caucasian</v>
      </c>
    </row>
    <row r="536" spans="1:34" x14ac:dyDescent="0.25">
      <c r="A536" t="s">
        <v>1572</v>
      </c>
      <c r="B536" t="s">
        <v>1505</v>
      </c>
      <c r="C536" t="s">
        <v>1573</v>
      </c>
      <c r="D536" t="s">
        <v>273</v>
      </c>
      <c r="E536" t="s">
        <v>34</v>
      </c>
      <c r="F536" t="str">
        <f t="shared" si="97"/>
        <v>Data Analyst</v>
      </c>
      <c r="G536" t="str">
        <f t="shared" si="98"/>
        <v>Data Analyst</v>
      </c>
      <c r="H536" t="s">
        <v>35</v>
      </c>
      <c r="I536" t="s">
        <v>48</v>
      </c>
      <c r="J536" t="s">
        <v>1574</v>
      </c>
      <c r="K536" t="str">
        <f t="shared" si="99"/>
        <v>Non Profit Organization</v>
      </c>
      <c r="L536" t="str">
        <f t="shared" si="100"/>
        <v>Others</v>
      </c>
      <c r="M536" t="s">
        <v>38</v>
      </c>
      <c r="N536" t="str">
        <f t="shared" si="101"/>
        <v>Python</v>
      </c>
      <c r="O536" t="str">
        <f t="shared" si="102"/>
        <v>Python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tr">
        <f t="shared" si="103"/>
        <v>Better Salary</v>
      </c>
      <c r="Y536" t="str">
        <f t="shared" si="104"/>
        <v>Better Salary</v>
      </c>
      <c r="Z536" t="s">
        <v>69</v>
      </c>
      <c r="AA536">
        <v>26</v>
      </c>
      <c r="AB536" t="s">
        <v>51</v>
      </c>
      <c r="AC536" t="str">
        <f t="shared" si="105"/>
        <v>Canada</v>
      </c>
      <c r="AD536" t="str">
        <f t="shared" si="106"/>
        <v>Canada</v>
      </c>
      <c r="AE536" t="s">
        <v>244</v>
      </c>
      <c r="AF536" t="s">
        <v>52</v>
      </c>
      <c r="AG536" t="str">
        <f t="shared" si="96"/>
        <v>Asian or Asian American</v>
      </c>
      <c r="AH536" t="str">
        <f t="shared" si="107"/>
        <v>Asian or Asian American</v>
      </c>
    </row>
    <row r="537" spans="1:34" x14ac:dyDescent="0.25">
      <c r="A537" t="s">
        <v>1575</v>
      </c>
      <c r="B537" t="s">
        <v>1505</v>
      </c>
      <c r="C537" t="s">
        <v>926</v>
      </c>
      <c r="D537" t="s">
        <v>1424</v>
      </c>
      <c r="E537" t="s">
        <v>34</v>
      </c>
      <c r="F537" t="str">
        <f t="shared" si="97"/>
        <v>Data Analyst</v>
      </c>
      <c r="G537" t="str">
        <f t="shared" si="98"/>
        <v>Data Analyst</v>
      </c>
      <c r="H537" t="s">
        <v>35</v>
      </c>
      <c r="I537" t="s">
        <v>57</v>
      </c>
      <c r="J537" t="s">
        <v>37</v>
      </c>
      <c r="K537" t="str">
        <f t="shared" si="99"/>
        <v>Healthcare</v>
      </c>
      <c r="L537" t="str">
        <f t="shared" si="100"/>
        <v>Healthcare</v>
      </c>
      <c r="M537" t="s">
        <v>38</v>
      </c>
      <c r="N537" t="str">
        <f t="shared" si="101"/>
        <v>Python</v>
      </c>
      <c r="O537" t="str">
        <f t="shared" si="102"/>
        <v>Python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tr">
        <f t="shared" si="103"/>
        <v>Good Work/Life Balance</v>
      </c>
      <c r="Y537" t="str">
        <f t="shared" si="104"/>
        <v>Good Work/Life Balance</v>
      </c>
      <c r="Z537" t="s">
        <v>41</v>
      </c>
      <c r="AA537">
        <v>25</v>
      </c>
      <c r="AB537" t="s">
        <v>211</v>
      </c>
      <c r="AC537" t="str">
        <f t="shared" si="105"/>
        <v>Spain</v>
      </c>
      <c r="AD537" t="str">
        <f t="shared" si="106"/>
        <v>Spain</v>
      </c>
      <c r="AE537" t="s">
        <v>241</v>
      </c>
      <c r="AF537" t="s">
        <v>43</v>
      </c>
      <c r="AG537" t="str">
        <f t="shared" si="96"/>
        <v>White or Caucasian</v>
      </c>
      <c r="AH537" t="str">
        <f t="shared" si="107"/>
        <v>White or Caucasian</v>
      </c>
    </row>
    <row r="538" spans="1:34" x14ac:dyDescent="0.25">
      <c r="A538" t="s">
        <v>1576</v>
      </c>
      <c r="B538" t="s">
        <v>1505</v>
      </c>
      <c r="C538" t="s">
        <v>1577</v>
      </c>
      <c r="D538" t="s">
        <v>1567</v>
      </c>
      <c r="E538" t="s">
        <v>34</v>
      </c>
      <c r="F538" t="str">
        <f t="shared" si="97"/>
        <v>Data Analyst</v>
      </c>
      <c r="G538" t="str">
        <f t="shared" si="98"/>
        <v>Data Analyst</v>
      </c>
      <c r="H538" t="s">
        <v>35</v>
      </c>
      <c r="I538" t="s">
        <v>57</v>
      </c>
      <c r="J538" t="s">
        <v>495</v>
      </c>
      <c r="K538" t="str">
        <f t="shared" si="99"/>
        <v>Manufacturing</v>
      </c>
      <c r="L538" t="str">
        <f t="shared" si="100"/>
        <v>Others</v>
      </c>
      <c r="M538" t="s">
        <v>38</v>
      </c>
      <c r="N538" t="str">
        <f t="shared" si="101"/>
        <v>Python</v>
      </c>
      <c r="O538" t="str">
        <f t="shared" si="102"/>
        <v>Python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tr">
        <f t="shared" si="103"/>
        <v>Remote Work</v>
      </c>
      <c r="Y538" t="str">
        <f t="shared" si="104"/>
        <v>Remote Work</v>
      </c>
      <c r="Z538" t="s">
        <v>41</v>
      </c>
      <c r="AA538">
        <v>25</v>
      </c>
      <c r="AB538" t="s">
        <v>427</v>
      </c>
      <c r="AC538" t="str">
        <f t="shared" si="105"/>
        <v>Portugal</v>
      </c>
      <c r="AD538" t="str">
        <f t="shared" si="106"/>
        <v>Portugal</v>
      </c>
      <c r="AE538" t="s">
        <v>241</v>
      </c>
      <c r="AF538" t="s">
        <v>43</v>
      </c>
      <c r="AG538" t="str">
        <f t="shared" si="96"/>
        <v>White or Caucasian</v>
      </c>
      <c r="AH538" t="str">
        <f t="shared" si="107"/>
        <v>White or Caucasian</v>
      </c>
    </row>
    <row r="539" spans="1:34" x14ac:dyDescent="0.25">
      <c r="A539" t="s">
        <v>1578</v>
      </c>
      <c r="B539" t="s">
        <v>1505</v>
      </c>
      <c r="C539" t="s">
        <v>1579</v>
      </c>
      <c r="D539" t="s">
        <v>233</v>
      </c>
      <c r="E539" t="s">
        <v>34</v>
      </c>
      <c r="F539" t="str">
        <f t="shared" si="97"/>
        <v>Data Analyst</v>
      </c>
      <c r="G539" t="str">
        <f t="shared" si="98"/>
        <v>Data Analyst</v>
      </c>
      <c r="H539" t="s">
        <v>35</v>
      </c>
      <c r="I539" t="s">
        <v>57</v>
      </c>
      <c r="J539" t="s">
        <v>37</v>
      </c>
      <c r="K539" t="str">
        <f t="shared" si="99"/>
        <v>Healthcare</v>
      </c>
      <c r="L539" t="str">
        <f t="shared" si="100"/>
        <v>Healthcare</v>
      </c>
      <c r="M539" t="s">
        <v>50</v>
      </c>
      <c r="N539" t="str">
        <f t="shared" si="101"/>
        <v>R</v>
      </c>
      <c r="O539" t="str">
        <f t="shared" si="102"/>
        <v>R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tr">
        <f t="shared" si="103"/>
        <v>Good Work/Life Balance</v>
      </c>
      <c r="Y539" t="str">
        <f t="shared" si="104"/>
        <v>Good Work/Life Balance</v>
      </c>
      <c r="Z539" t="s">
        <v>41</v>
      </c>
      <c r="AA539">
        <v>26</v>
      </c>
      <c r="AB539" t="s">
        <v>1580</v>
      </c>
      <c r="AC539" t="str">
        <f t="shared" si="105"/>
        <v>Liberia</v>
      </c>
      <c r="AD539" t="str">
        <f t="shared" si="106"/>
        <v>Others</v>
      </c>
      <c r="AE539" t="s">
        <v>241</v>
      </c>
      <c r="AF539" t="s">
        <v>62</v>
      </c>
      <c r="AG539" t="str">
        <f t="shared" si="96"/>
        <v>Black or African American</v>
      </c>
      <c r="AH539" t="str">
        <f t="shared" si="107"/>
        <v>Black or African American</v>
      </c>
    </row>
    <row r="540" spans="1:34" x14ac:dyDescent="0.25">
      <c r="A540" t="s">
        <v>1581</v>
      </c>
      <c r="B540" t="s">
        <v>1505</v>
      </c>
      <c r="C540" t="s">
        <v>1579</v>
      </c>
      <c r="D540" t="s">
        <v>572</v>
      </c>
      <c r="E540" t="s">
        <v>34</v>
      </c>
      <c r="F540" t="str">
        <f t="shared" si="97"/>
        <v>Data Analyst</v>
      </c>
      <c r="G540" t="str">
        <f t="shared" si="98"/>
        <v>Data Analyst</v>
      </c>
      <c r="H540" t="s">
        <v>35</v>
      </c>
      <c r="I540" t="s">
        <v>86</v>
      </c>
      <c r="J540" t="s">
        <v>112</v>
      </c>
      <c r="K540" t="str">
        <f t="shared" si="99"/>
        <v>Education</v>
      </c>
      <c r="L540" t="str">
        <f t="shared" si="100"/>
        <v>Education</v>
      </c>
      <c r="M540" t="s">
        <v>38</v>
      </c>
      <c r="N540" t="str">
        <f t="shared" si="101"/>
        <v>Python</v>
      </c>
      <c r="O540" t="str">
        <f t="shared" si="102"/>
        <v>Python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tr">
        <f t="shared" si="103"/>
        <v>Good Culture</v>
      </c>
      <c r="Y540" t="str">
        <f t="shared" si="104"/>
        <v>Good Culture</v>
      </c>
      <c r="Z540" t="s">
        <v>41</v>
      </c>
      <c r="AA540">
        <v>35</v>
      </c>
      <c r="AB540" t="s">
        <v>42</v>
      </c>
      <c r="AC540" t="str">
        <f t="shared" si="105"/>
        <v>United States</v>
      </c>
      <c r="AD540" t="str">
        <f t="shared" si="106"/>
        <v>United States</v>
      </c>
      <c r="AE540" t="s">
        <v>241</v>
      </c>
      <c r="AF540" t="s">
        <v>43</v>
      </c>
      <c r="AG540" t="str">
        <f t="shared" si="96"/>
        <v>White or Caucasian</v>
      </c>
      <c r="AH540" t="str">
        <f t="shared" si="107"/>
        <v>White or Caucasian</v>
      </c>
    </row>
    <row r="541" spans="1:34" x14ac:dyDescent="0.25">
      <c r="A541" t="s">
        <v>1582</v>
      </c>
      <c r="B541" t="s">
        <v>1505</v>
      </c>
      <c r="C541" t="s">
        <v>1583</v>
      </c>
      <c r="D541" t="s">
        <v>135</v>
      </c>
      <c r="E541" t="s">
        <v>34</v>
      </c>
      <c r="F541" t="str">
        <f t="shared" si="97"/>
        <v>Data Analyst</v>
      </c>
      <c r="G541" t="str">
        <f t="shared" si="98"/>
        <v>Data Analyst</v>
      </c>
      <c r="H541" t="s">
        <v>35</v>
      </c>
      <c r="I541" t="s">
        <v>91</v>
      </c>
      <c r="J541" t="s">
        <v>87</v>
      </c>
      <c r="K541" t="str">
        <f t="shared" si="99"/>
        <v>Retail</v>
      </c>
      <c r="L541" t="str">
        <f t="shared" si="100"/>
        <v>Retail</v>
      </c>
      <c r="M541" t="s">
        <v>38</v>
      </c>
      <c r="N541" t="str">
        <f t="shared" si="101"/>
        <v>Python</v>
      </c>
      <c r="O541" t="str">
        <f t="shared" si="102"/>
        <v>Python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tr">
        <f t="shared" si="103"/>
        <v>Remote Work</v>
      </c>
      <c r="Y541" t="str">
        <f t="shared" si="104"/>
        <v>Remote Work</v>
      </c>
      <c r="Z541" t="s">
        <v>41</v>
      </c>
      <c r="AA541">
        <v>29</v>
      </c>
      <c r="AB541" t="s">
        <v>42</v>
      </c>
      <c r="AC541" t="str">
        <f t="shared" si="105"/>
        <v>United States</v>
      </c>
      <c r="AD541" t="str">
        <f t="shared" si="106"/>
        <v>United States</v>
      </c>
      <c r="AE541" t="s">
        <v>244</v>
      </c>
      <c r="AF541" t="s">
        <v>62</v>
      </c>
      <c r="AG541" t="str">
        <f t="shared" si="96"/>
        <v>Black or African American</v>
      </c>
      <c r="AH541" t="str">
        <f t="shared" si="107"/>
        <v>Black or African American</v>
      </c>
    </row>
    <row r="542" spans="1:34" x14ac:dyDescent="0.25">
      <c r="A542" t="s">
        <v>1584</v>
      </c>
      <c r="B542" t="s">
        <v>1505</v>
      </c>
      <c r="C542" t="s">
        <v>1585</v>
      </c>
      <c r="D542" t="s">
        <v>379</v>
      </c>
      <c r="E542" t="s">
        <v>34</v>
      </c>
      <c r="F542" t="str">
        <f t="shared" si="97"/>
        <v>Data Analyst</v>
      </c>
      <c r="G542" t="str">
        <f t="shared" si="98"/>
        <v>Data Analyst</v>
      </c>
      <c r="H542" t="s">
        <v>35</v>
      </c>
      <c r="I542" t="s">
        <v>91</v>
      </c>
      <c r="J542" t="s">
        <v>107</v>
      </c>
      <c r="K542" t="str">
        <f t="shared" si="99"/>
        <v>Tech</v>
      </c>
      <c r="L542" t="str">
        <f t="shared" si="100"/>
        <v>Tech</v>
      </c>
      <c r="M542" t="s">
        <v>38</v>
      </c>
      <c r="N542" t="str">
        <f t="shared" si="101"/>
        <v>Python</v>
      </c>
      <c r="O542" t="str">
        <f t="shared" si="102"/>
        <v>Python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tr">
        <f t="shared" si="103"/>
        <v>Better Salary</v>
      </c>
      <c r="Y542" t="str">
        <f t="shared" si="104"/>
        <v>Better Salary</v>
      </c>
      <c r="Z542" t="s">
        <v>69</v>
      </c>
      <c r="AA542">
        <v>41</v>
      </c>
      <c r="AB542" t="s">
        <v>42</v>
      </c>
      <c r="AC542" t="str">
        <f t="shared" si="105"/>
        <v>United States</v>
      </c>
      <c r="AD542" t="str">
        <f t="shared" si="106"/>
        <v>United States</v>
      </c>
      <c r="AE542" t="s">
        <v>266</v>
      </c>
      <c r="AF542" t="s">
        <v>95</v>
      </c>
      <c r="AG542" t="str">
        <f t="shared" si="96"/>
        <v>Hispanic or Latino</v>
      </c>
      <c r="AH542" t="str">
        <f t="shared" si="107"/>
        <v>Hispanic or Latino</v>
      </c>
    </row>
    <row r="543" spans="1:34" x14ac:dyDescent="0.25">
      <c r="A543" t="s">
        <v>1586</v>
      </c>
      <c r="B543" t="s">
        <v>1505</v>
      </c>
      <c r="C543" t="s">
        <v>1587</v>
      </c>
      <c r="D543" t="s">
        <v>80</v>
      </c>
      <c r="E543" t="s">
        <v>127</v>
      </c>
      <c r="F543" t="str">
        <f t="shared" si="97"/>
        <v>Student/Looking/None</v>
      </c>
      <c r="G543" t="str">
        <f t="shared" si="98"/>
        <v>Student/Looking/None</v>
      </c>
      <c r="H543" t="s">
        <v>47</v>
      </c>
      <c r="I543" t="s">
        <v>57</v>
      </c>
      <c r="J543" t="s">
        <v>112</v>
      </c>
      <c r="K543" t="str">
        <f t="shared" si="99"/>
        <v>Education</v>
      </c>
      <c r="L543" t="str">
        <f t="shared" si="100"/>
        <v>Education</v>
      </c>
      <c r="M543" t="s">
        <v>38</v>
      </c>
      <c r="N543" t="str">
        <f t="shared" si="101"/>
        <v>Python</v>
      </c>
      <c r="O543" t="str">
        <f t="shared" si="102"/>
        <v>Python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tr">
        <f t="shared" si="103"/>
        <v>Remote Work</v>
      </c>
      <c r="Y543" t="str">
        <f t="shared" si="104"/>
        <v>Remote Work</v>
      </c>
      <c r="Z543" t="s">
        <v>69</v>
      </c>
      <c r="AA543">
        <v>22</v>
      </c>
      <c r="AB543" t="s">
        <v>42</v>
      </c>
      <c r="AC543" t="str">
        <f t="shared" si="105"/>
        <v>United States</v>
      </c>
      <c r="AD543" t="str">
        <f t="shared" si="106"/>
        <v>United States</v>
      </c>
      <c r="AE543" t="s">
        <v>241</v>
      </c>
      <c r="AF543" t="s">
        <v>95</v>
      </c>
      <c r="AG543" t="str">
        <f t="shared" si="96"/>
        <v>Hispanic or Latino</v>
      </c>
      <c r="AH543" t="str">
        <f t="shared" si="107"/>
        <v>Hispanic or Latino</v>
      </c>
    </row>
    <row r="544" spans="1:34" x14ac:dyDescent="0.25">
      <c r="A544" t="s">
        <v>1588</v>
      </c>
      <c r="B544" t="s">
        <v>1505</v>
      </c>
      <c r="C544" t="s">
        <v>1589</v>
      </c>
      <c r="D544" t="s">
        <v>1199</v>
      </c>
      <c r="E544" t="s">
        <v>34</v>
      </c>
      <c r="F544" t="str">
        <f t="shared" si="97"/>
        <v>Data Analyst</v>
      </c>
      <c r="G544" t="str">
        <f t="shared" si="98"/>
        <v>Data Analyst</v>
      </c>
      <c r="H544" t="s">
        <v>35</v>
      </c>
      <c r="I544" t="s">
        <v>98</v>
      </c>
      <c r="J544" t="s">
        <v>37</v>
      </c>
      <c r="K544" t="str">
        <f t="shared" si="99"/>
        <v>Healthcare</v>
      </c>
      <c r="L544" t="str">
        <f t="shared" si="100"/>
        <v>Healthcare</v>
      </c>
      <c r="M544" t="s">
        <v>678</v>
      </c>
      <c r="N544" t="str">
        <f t="shared" si="101"/>
        <v>None</v>
      </c>
      <c r="O544" t="str">
        <f t="shared" si="102"/>
        <v>None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tr">
        <f t="shared" si="103"/>
        <v>Better Salary</v>
      </c>
      <c r="Y544" t="str">
        <f t="shared" si="104"/>
        <v>Better Salary</v>
      </c>
      <c r="Z544" t="s">
        <v>41</v>
      </c>
      <c r="AA544">
        <v>35</v>
      </c>
      <c r="AB544" t="s">
        <v>42</v>
      </c>
      <c r="AC544" t="str">
        <f t="shared" si="105"/>
        <v>United States</v>
      </c>
      <c r="AD544" t="str">
        <f t="shared" si="106"/>
        <v>United States</v>
      </c>
      <c r="AE544" t="s">
        <v>241</v>
      </c>
      <c r="AF544" t="s">
        <v>95</v>
      </c>
      <c r="AG544" t="str">
        <f t="shared" si="96"/>
        <v>Hispanic or Latino</v>
      </c>
      <c r="AH544" t="str">
        <f t="shared" si="107"/>
        <v>Hispanic or Latino</v>
      </c>
    </row>
    <row r="545" spans="1:34" x14ac:dyDescent="0.25">
      <c r="A545" t="s">
        <v>1590</v>
      </c>
      <c r="B545" t="s">
        <v>1505</v>
      </c>
      <c r="C545" t="s">
        <v>1591</v>
      </c>
      <c r="D545" t="s">
        <v>269</v>
      </c>
      <c r="E545" t="s">
        <v>34</v>
      </c>
      <c r="F545" t="str">
        <f t="shared" si="97"/>
        <v>Data Analyst</v>
      </c>
      <c r="G545" t="str">
        <f t="shared" si="98"/>
        <v>Data Analyst</v>
      </c>
      <c r="H545" t="s">
        <v>35</v>
      </c>
      <c r="I545" t="s">
        <v>98</v>
      </c>
      <c r="J545" t="s">
        <v>49</v>
      </c>
      <c r="K545" t="str">
        <f t="shared" si="99"/>
        <v>Finance</v>
      </c>
      <c r="L545" t="str">
        <f t="shared" si="100"/>
        <v>Finance</v>
      </c>
      <c r="M545" t="s">
        <v>38</v>
      </c>
      <c r="N545" t="str">
        <f t="shared" si="101"/>
        <v>Python</v>
      </c>
      <c r="O545" t="str">
        <f t="shared" si="102"/>
        <v>Python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tr">
        <f t="shared" si="103"/>
        <v>Better Salary</v>
      </c>
      <c r="Y545" t="str">
        <f t="shared" si="104"/>
        <v>Better Salary</v>
      </c>
      <c r="Z545" t="s">
        <v>41</v>
      </c>
      <c r="AA545">
        <v>30</v>
      </c>
      <c r="AB545" t="s">
        <v>1592</v>
      </c>
      <c r="AC545" t="str">
        <f t="shared" si="105"/>
        <v>SG</v>
      </c>
      <c r="AD545" t="str">
        <f t="shared" si="106"/>
        <v>Others</v>
      </c>
      <c r="AE545" t="s">
        <v>241</v>
      </c>
      <c r="AF545" t="s">
        <v>52</v>
      </c>
      <c r="AG545" t="str">
        <f t="shared" si="96"/>
        <v>Asian or Asian American</v>
      </c>
      <c r="AH545" t="str">
        <f t="shared" si="107"/>
        <v>Asian or Asian American</v>
      </c>
    </row>
    <row r="546" spans="1:34" x14ac:dyDescent="0.25">
      <c r="A546" t="s">
        <v>1593</v>
      </c>
      <c r="B546" t="s">
        <v>1505</v>
      </c>
      <c r="C546" t="s">
        <v>1594</v>
      </c>
      <c r="D546" t="s">
        <v>483</v>
      </c>
      <c r="E546" t="s">
        <v>56</v>
      </c>
      <c r="F546" t="str">
        <f t="shared" si="97"/>
        <v>Data Engineer</v>
      </c>
      <c r="G546" t="str">
        <f t="shared" si="98"/>
        <v>Data Engineer</v>
      </c>
      <c r="H546" t="s">
        <v>47</v>
      </c>
      <c r="I546" t="s">
        <v>67</v>
      </c>
      <c r="J546" t="s">
        <v>716</v>
      </c>
      <c r="K546" t="str">
        <f t="shared" si="99"/>
        <v>Real Estate</v>
      </c>
      <c r="L546" t="str">
        <f t="shared" si="100"/>
        <v>Real Estate</v>
      </c>
      <c r="M546" t="s">
        <v>38</v>
      </c>
      <c r="N546" t="str">
        <f t="shared" si="101"/>
        <v>Python</v>
      </c>
      <c r="O546" t="str">
        <f t="shared" si="102"/>
        <v>Python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tr">
        <f t="shared" si="103"/>
        <v>Good Culture</v>
      </c>
      <c r="Y546" t="str">
        <f t="shared" si="104"/>
        <v>Good Culture</v>
      </c>
      <c r="Z546" t="s">
        <v>41</v>
      </c>
      <c r="AA546">
        <v>37</v>
      </c>
      <c r="AB546" t="s">
        <v>51</v>
      </c>
      <c r="AC546" t="str">
        <f t="shared" si="105"/>
        <v>Canada</v>
      </c>
      <c r="AD546" t="str">
        <f t="shared" si="106"/>
        <v>Canada</v>
      </c>
      <c r="AE546" t="s">
        <v>241</v>
      </c>
      <c r="AF546" t="s">
        <v>52</v>
      </c>
      <c r="AG546" t="str">
        <f t="shared" si="96"/>
        <v>Asian or Asian American</v>
      </c>
      <c r="AH546" t="str">
        <f t="shared" si="107"/>
        <v>Asian or Asian American</v>
      </c>
    </row>
    <row r="547" spans="1:34" x14ac:dyDescent="0.25">
      <c r="A547" t="s">
        <v>1595</v>
      </c>
      <c r="B547" t="s">
        <v>1505</v>
      </c>
      <c r="C547" t="s">
        <v>1596</v>
      </c>
      <c r="D547" t="s">
        <v>297</v>
      </c>
      <c r="E547" t="s">
        <v>34</v>
      </c>
      <c r="F547" t="str">
        <f t="shared" si="97"/>
        <v>Data Analyst</v>
      </c>
      <c r="G547" t="str">
        <f t="shared" si="98"/>
        <v>Data Analyst</v>
      </c>
      <c r="H547" t="s">
        <v>35</v>
      </c>
      <c r="I547" t="s">
        <v>98</v>
      </c>
      <c r="J547" t="s">
        <v>1597</v>
      </c>
      <c r="K547" t="str">
        <f t="shared" si="99"/>
        <v>Air transpo</v>
      </c>
      <c r="L547" t="str">
        <f t="shared" si="100"/>
        <v>Others</v>
      </c>
      <c r="M547" t="s">
        <v>38</v>
      </c>
      <c r="N547" t="str">
        <f t="shared" si="101"/>
        <v>Python</v>
      </c>
      <c r="O547" t="str">
        <f t="shared" si="102"/>
        <v>Python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tr">
        <f t="shared" si="103"/>
        <v>Better Salary</v>
      </c>
      <c r="Y547" t="str">
        <f t="shared" si="104"/>
        <v>Better Salary</v>
      </c>
      <c r="Z547" t="s">
        <v>69</v>
      </c>
      <c r="AA547">
        <v>28</v>
      </c>
      <c r="AB547" t="s">
        <v>42</v>
      </c>
      <c r="AC547" t="str">
        <f t="shared" si="105"/>
        <v>United States</v>
      </c>
      <c r="AD547" t="str">
        <f t="shared" si="106"/>
        <v>United States</v>
      </c>
      <c r="AE547" t="s">
        <v>244</v>
      </c>
      <c r="AF547" t="s">
        <v>62</v>
      </c>
      <c r="AG547" t="str">
        <f t="shared" si="96"/>
        <v>Black or African American</v>
      </c>
      <c r="AH547" t="str">
        <f t="shared" si="107"/>
        <v>Black or African American</v>
      </c>
    </row>
    <row r="548" spans="1:34" x14ac:dyDescent="0.25">
      <c r="A548" t="s">
        <v>1598</v>
      </c>
      <c r="B548" t="s">
        <v>1505</v>
      </c>
      <c r="C548" t="s">
        <v>1599</v>
      </c>
      <c r="D548" t="s">
        <v>356</v>
      </c>
      <c r="E548" t="s">
        <v>34</v>
      </c>
      <c r="F548" t="str">
        <f t="shared" si="97"/>
        <v>Data Analyst</v>
      </c>
      <c r="G548" t="str">
        <f t="shared" si="98"/>
        <v>Data Analyst</v>
      </c>
      <c r="H548" t="s">
        <v>47</v>
      </c>
      <c r="I548" t="s">
        <v>91</v>
      </c>
      <c r="J548" t="s">
        <v>716</v>
      </c>
      <c r="K548" t="str">
        <f t="shared" si="99"/>
        <v>Real Estate</v>
      </c>
      <c r="L548" t="str">
        <f t="shared" si="100"/>
        <v>Real Estate</v>
      </c>
      <c r="M548" t="s">
        <v>38</v>
      </c>
      <c r="N548" t="str">
        <f t="shared" si="101"/>
        <v>Python</v>
      </c>
      <c r="O548" t="str">
        <f t="shared" si="102"/>
        <v>Python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tr">
        <f t="shared" si="103"/>
        <v>Good Culture</v>
      </c>
      <c r="Y548" t="str">
        <f t="shared" si="104"/>
        <v>Good Culture</v>
      </c>
      <c r="Z548" t="s">
        <v>41</v>
      </c>
      <c r="AA548">
        <v>23</v>
      </c>
      <c r="AB548" t="s">
        <v>42</v>
      </c>
      <c r="AC548" t="str">
        <f t="shared" si="105"/>
        <v>United States</v>
      </c>
      <c r="AD548" t="str">
        <f t="shared" si="106"/>
        <v>United States</v>
      </c>
      <c r="AE548" t="s">
        <v>231</v>
      </c>
      <c r="AF548" t="s">
        <v>43</v>
      </c>
      <c r="AG548" t="str">
        <f t="shared" si="96"/>
        <v>White or Caucasian</v>
      </c>
      <c r="AH548" t="str">
        <f t="shared" si="107"/>
        <v>White or Caucasian</v>
      </c>
    </row>
    <row r="549" spans="1:34" x14ac:dyDescent="0.25">
      <c r="A549" t="s">
        <v>1600</v>
      </c>
      <c r="B549" t="s">
        <v>1601</v>
      </c>
      <c r="C549" t="s">
        <v>1602</v>
      </c>
      <c r="D549" t="s">
        <v>735</v>
      </c>
      <c r="E549" t="s">
        <v>127</v>
      </c>
      <c r="F549" t="str">
        <f t="shared" si="97"/>
        <v>Student/Looking/None</v>
      </c>
      <c r="G549" t="str">
        <f t="shared" si="98"/>
        <v>Student/Looking/None</v>
      </c>
      <c r="H549" t="s">
        <v>47</v>
      </c>
      <c r="I549" t="s">
        <v>57</v>
      </c>
      <c r="J549" t="s">
        <v>49</v>
      </c>
      <c r="K549" t="str">
        <f t="shared" si="99"/>
        <v>Finance</v>
      </c>
      <c r="L549" t="str">
        <f t="shared" si="100"/>
        <v>Finance</v>
      </c>
      <c r="M549" t="s">
        <v>38</v>
      </c>
      <c r="N549" t="str">
        <f t="shared" si="101"/>
        <v>Python</v>
      </c>
      <c r="O549" t="str">
        <f t="shared" si="102"/>
        <v>Python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tr">
        <f t="shared" si="103"/>
        <v>Better Salary</v>
      </c>
      <c r="Y549" t="str">
        <f t="shared" si="104"/>
        <v>Better Salary</v>
      </c>
      <c r="Z549" t="s">
        <v>41</v>
      </c>
      <c r="AA549">
        <v>26</v>
      </c>
      <c r="AB549" t="s">
        <v>42</v>
      </c>
      <c r="AC549" t="str">
        <f t="shared" si="105"/>
        <v>United States</v>
      </c>
      <c r="AD549" t="str">
        <f t="shared" si="106"/>
        <v>United States</v>
      </c>
      <c r="AE549" t="s">
        <v>231</v>
      </c>
      <c r="AF549" t="s">
        <v>52</v>
      </c>
      <c r="AG549" t="str">
        <f t="shared" si="96"/>
        <v>Asian or Asian American</v>
      </c>
      <c r="AH549" t="str">
        <f t="shared" si="107"/>
        <v>Asian or Asian American</v>
      </c>
    </row>
    <row r="550" spans="1:34" x14ac:dyDescent="0.25">
      <c r="A550" t="s">
        <v>1603</v>
      </c>
      <c r="B550" t="s">
        <v>1601</v>
      </c>
      <c r="C550" t="s">
        <v>1406</v>
      </c>
      <c r="D550" t="s">
        <v>348</v>
      </c>
      <c r="E550" t="s">
        <v>34</v>
      </c>
      <c r="F550" t="str">
        <f t="shared" si="97"/>
        <v>Data Analyst</v>
      </c>
      <c r="G550" t="str">
        <f t="shared" si="98"/>
        <v>Data Analyst</v>
      </c>
      <c r="H550" t="s">
        <v>47</v>
      </c>
      <c r="I550" t="s">
        <v>98</v>
      </c>
      <c r="J550" t="s">
        <v>1604</v>
      </c>
      <c r="K550" t="str">
        <f t="shared" si="99"/>
        <v>Distribution</v>
      </c>
      <c r="L550" t="str">
        <f t="shared" si="100"/>
        <v>Others</v>
      </c>
      <c r="M550" t="s">
        <v>38</v>
      </c>
      <c r="N550" t="str">
        <f t="shared" si="101"/>
        <v>Python</v>
      </c>
      <c r="O550" t="str">
        <f t="shared" si="102"/>
        <v>Python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tr">
        <f t="shared" si="103"/>
        <v>Good Work/Life Balance</v>
      </c>
      <c r="Y550" t="str">
        <f t="shared" si="104"/>
        <v>Good Work/Life Balance</v>
      </c>
      <c r="Z550" t="s">
        <v>41</v>
      </c>
      <c r="AA550">
        <v>25</v>
      </c>
      <c r="AB550" t="s">
        <v>203</v>
      </c>
      <c r="AC550" t="str">
        <f t="shared" si="105"/>
        <v>Australia</v>
      </c>
      <c r="AD550" t="str">
        <f t="shared" si="106"/>
        <v>Australia</v>
      </c>
      <c r="AE550" t="s">
        <v>241</v>
      </c>
      <c r="AF550" t="s">
        <v>744</v>
      </c>
      <c r="AG550" t="s">
        <v>744</v>
      </c>
      <c r="AH550" t="str">
        <f t="shared" si="107"/>
        <v>Others</v>
      </c>
    </row>
    <row r="551" spans="1:34" x14ac:dyDescent="0.25">
      <c r="A551" t="s">
        <v>1605</v>
      </c>
      <c r="B551" t="s">
        <v>1601</v>
      </c>
      <c r="C551" t="s">
        <v>1606</v>
      </c>
      <c r="D551" t="s">
        <v>93</v>
      </c>
      <c r="E551" t="s">
        <v>34</v>
      </c>
      <c r="F551" t="str">
        <f t="shared" si="97"/>
        <v>Data Analyst</v>
      </c>
      <c r="G551" t="str">
        <f t="shared" si="98"/>
        <v>Data Analyst</v>
      </c>
      <c r="H551" t="s">
        <v>47</v>
      </c>
      <c r="I551" t="s">
        <v>57</v>
      </c>
      <c r="J551" t="s">
        <v>107</v>
      </c>
      <c r="K551" t="str">
        <f t="shared" si="99"/>
        <v>Tech</v>
      </c>
      <c r="L551" t="str">
        <f t="shared" si="100"/>
        <v>Tech</v>
      </c>
      <c r="M551" t="s">
        <v>38</v>
      </c>
      <c r="N551" t="str">
        <f t="shared" si="101"/>
        <v>Python</v>
      </c>
      <c r="O551" t="str">
        <f t="shared" si="102"/>
        <v>Python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tr">
        <f t="shared" si="103"/>
        <v>Remote Work</v>
      </c>
      <c r="Y551" t="str">
        <f t="shared" si="104"/>
        <v>Remote Work</v>
      </c>
      <c r="Z551" t="s">
        <v>41</v>
      </c>
      <c r="AA551">
        <v>23</v>
      </c>
      <c r="AB551" t="s">
        <v>151</v>
      </c>
      <c r="AC551" t="str">
        <f t="shared" si="105"/>
        <v>India</v>
      </c>
      <c r="AD551" t="str">
        <f t="shared" si="106"/>
        <v>India</v>
      </c>
      <c r="AE551" t="s">
        <v>241</v>
      </c>
      <c r="AF551" t="s">
        <v>52</v>
      </c>
      <c r="AG551" t="str">
        <f t="shared" si="96"/>
        <v>Asian or Asian American</v>
      </c>
      <c r="AH551" t="str">
        <f t="shared" si="107"/>
        <v>Asian or Asian American</v>
      </c>
    </row>
    <row r="552" spans="1:34" x14ac:dyDescent="0.25">
      <c r="A552" t="s">
        <v>1607</v>
      </c>
      <c r="B552" t="s">
        <v>1601</v>
      </c>
      <c r="C552" t="s">
        <v>1608</v>
      </c>
      <c r="D552" t="s">
        <v>1462</v>
      </c>
      <c r="E552" t="s">
        <v>127</v>
      </c>
      <c r="F552" t="str">
        <f t="shared" si="97"/>
        <v>Student/Looking/None</v>
      </c>
      <c r="G552" t="str">
        <f t="shared" si="98"/>
        <v>Student/Looking/None</v>
      </c>
      <c r="H552" t="s">
        <v>35</v>
      </c>
      <c r="I552" t="s">
        <v>57</v>
      </c>
      <c r="J552" t="s">
        <v>1609</v>
      </c>
      <c r="K552" t="str">
        <f t="shared" si="99"/>
        <v>None for now</v>
      </c>
      <c r="L552" t="str">
        <f t="shared" si="100"/>
        <v>Others</v>
      </c>
      <c r="M552" t="s">
        <v>1610</v>
      </c>
      <c r="N552" t="str">
        <f t="shared" si="101"/>
        <v>None at the moment</v>
      </c>
      <c r="O552" t="str">
        <f t="shared" si="102"/>
        <v>Others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tr">
        <f t="shared" si="103"/>
        <v>Good Culture</v>
      </c>
      <c r="Y552" t="str">
        <f t="shared" si="104"/>
        <v>Good Culture</v>
      </c>
      <c r="Z552" t="s">
        <v>41</v>
      </c>
      <c r="AA552">
        <v>53</v>
      </c>
      <c r="AB552" t="s">
        <v>61</v>
      </c>
      <c r="AC552" t="str">
        <f t="shared" si="105"/>
        <v>Nigeria</v>
      </c>
      <c r="AD552" t="str">
        <f t="shared" si="106"/>
        <v>Nigeria</v>
      </c>
      <c r="AE552" t="s">
        <v>241</v>
      </c>
      <c r="AF552" t="s">
        <v>62</v>
      </c>
      <c r="AG552" t="str">
        <f t="shared" si="96"/>
        <v>Black or African American</v>
      </c>
      <c r="AH552" t="str">
        <f t="shared" si="107"/>
        <v>Black or African American</v>
      </c>
    </row>
    <row r="553" spans="1:34" x14ac:dyDescent="0.25">
      <c r="A553" t="s">
        <v>1611</v>
      </c>
      <c r="B553" t="s">
        <v>1601</v>
      </c>
      <c r="C553" t="s">
        <v>1612</v>
      </c>
      <c r="D553" t="s">
        <v>175</v>
      </c>
      <c r="E553" t="s">
        <v>56</v>
      </c>
      <c r="F553" t="str">
        <f t="shared" si="97"/>
        <v>Data Engineer</v>
      </c>
      <c r="G553" t="str">
        <f t="shared" si="98"/>
        <v>Data Engineer</v>
      </c>
      <c r="H553" t="s">
        <v>35</v>
      </c>
      <c r="I553" t="s">
        <v>57</v>
      </c>
      <c r="J553" t="s">
        <v>107</v>
      </c>
      <c r="K553" t="str">
        <f t="shared" si="99"/>
        <v>Tech</v>
      </c>
      <c r="L553" t="str">
        <f t="shared" si="100"/>
        <v>Tech</v>
      </c>
      <c r="M553" t="s">
        <v>38</v>
      </c>
      <c r="N553" t="str">
        <f t="shared" si="101"/>
        <v>Python</v>
      </c>
      <c r="O553" t="str">
        <f t="shared" si="102"/>
        <v>Python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tr">
        <f t="shared" si="103"/>
        <v>Better Salary</v>
      </c>
      <c r="Y553" t="str">
        <f t="shared" si="104"/>
        <v>Better Salary</v>
      </c>
      <c r="Z553" t="s">
        <v>69</v>
      </c>
      <c r="AA553">
        <v>33</v>
      </c>
      <c r="AB553" t="s">
        <v>713</v>
      </c>
      <c r="AC553" t="str">
        <f t="shared" si="105"/>
        <v>Romania</v>
      </c>
      <c r="AD553" t="str">
        <f t="shared" si="106"/>
        <v>Others</v>
      </c>
      <c r="AE553" t="s">
        <v>241</v>
      </c>
      <c r="AF553" t="s">
        <v>43</v>
      </c>
      <c r="AG553" t="str">
        <f t="shared" si="96"/>
        <v>White or Caucasian</v>
      </c>
      <c r="AH553" t="str">
        <f t="shared" si="107"/>
        <v>White or Caucasian</v>
      </c>
    </row>
    <row r="554" spans="1:34" x14ac:dyDescent="0.25">
      <c r="A554" t="s">
        <v>1613</v>
      </c>
      <c r="B554" t="s">
        <v>1601</v>
      </c>
      <c r="C554" t="s">
        <v>1614</v>
      </c>
      <c r="D554" t="s">
        <v>1615</v>
      </c>
      <c r="E554" t="s">
        <v>127</v>
      </c>
      <c r="F554" t="str">
        <f t="shared" si="97"/>
        <v>Student/Looking/None</v>
      </c>
      <c r="G554" t="str">
        <f t="shared" si="98"/>
        <v>Student/Looking/None</v>
      </c>
      <c r="H554" t="s">
        <v>35</v>
      </c>
      <c r="I554" t="s">
        <v>57</v>
      </c>
      <c r="J554" t="s">
        <v>49</v>
      </c>
      <c r="K554" t="str">
        <f t="shared" si="99"/>
        <v>Finance</v>
      </c>
      <c r="L554" t="str">
        <f t="shared" si="100"/>
        <v>Finance</v>
      </c>
      <c r="M554" t="s">
        <v>50</v>
      </c>
      <c r="N554" t="str">
        <f t="shared" si="101"/>
        <v>R</v>
      </c>
      <c r="O554" t="str">
        <f t="shared" si="102"/>
        <v>R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tr">
        <f t="shared" si="103"/>
        <v>Better Salary</v>
      </c>
      <c r="Y554" t="str">
        <f t="shared" si="104"/>
        <v>Better Salary</v>
      </c>
      <c r="Z554" t="s">
        <v>41</v>
      </c>
      <c r="AA554">
        <v>39</v>
      </c>
      <c r="AB554" t="s">
        <v>82</v>
      </c>
      <c r="AC554" t="str">
        <f t="shared" si="105"/>
        <v>Other</v>
      </c>
      <c r="AD554" t="str">
        <f t="shared" si="106"/>
        <v>Others</v>
      </c>
      <c r="AE554" t="s">
        <v>231</v>
      </c>
      <c r="AF554" t="s">
        <v>62</v>
      </c>
      <c r="AG554" t="str">
        <f t="shared" si="96"/>
        <v>Black or African American</v>
      </c>
      <c r="AH554" t="str">
        <f t="shared" si="107"/>
        <v>Black or African American</v>
      </c>
    </row>
    <row r="555" spans="1:34" x14ac:dyDescent="0.25">
      <c r="A555" t="s">
        <v>1616</v>
      </c>
      <c r="B555" t="s">
        <v>1601</v>
      </c>
      <c r="C555" t="s">
        <v>1617</v>
      </c>
      <c r="D555" t="s">
        <v>130</v>
      </c>
      <c r="E555" t="s">
        <v>34</v>
      </c>
      <c r="F555" t="str">
        <f t="shared" si="97"/>
        <v>Data Analyst</v>
      </c>
      <c r="G555" t="str">
        <f t="shared" si="98"/>
        <v>Data Analyst</v>
      </c>
      <c r="H555" t="s">
        <v>35</v>
      </c>
      <c r="I555" t="s">
        <v>57</v>
      </c>
      <c r="J555" t="s">
        <v>37</v>
      </c>
      <c r="K555" t="str">
        <f t="shared" si="99"/>
        <v>Healthcare</v>
      </c>
      <c r="L555" t="str">
        <f t="shared" si="100"/>
        <v>Healthcare</v>
      </c>
      <c r="M555" t="s">
        <v>1618</v>
      </c>
      <c r="N555" t="str">
        <f t="shared" si="101"/>
        <v>excel</v>
      </c>
      <c r="O555" t="str">
        <f t="shared" si="102"/>
        <v>Others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tr">
        <f t="shared" si="103"/>
        <v>Better Salary</v>
      </c>
      <c r="Y555" t="str">
        <f t="shared" si="104"/>
        <v>Better Salary</v>
      </c>
      <c r="Z555" t="s">
        <v>69</v>
      </c>
      <c r="AA555">
        <v>22</v>
      </c>
      <c r="AB555" t="s">
        <v>113</v>
      </c>
      <c r="AC555" t="str">
        <f t="shared" si="105"/>
        <v>United Kingdom</v>
      </c>
      <c r="AD555" t="str">
        <f t="shared" si="106"/>
        <v>United Kingdom</v>
      </c>
      <c r="AE555" t="s">
        <v>241</v>
      </c>
      <c r="AF555" t="s">
        <v>43</v>
      </c>
      <c r="AG555" t="str">
        <f t="shared" si="96"/>
        <v>White or Caucasian</v>
      </c>
      <c r="AH555" t="str">
        <f t="shared" si="107"/>
        <v>White or Caucasian</v>
      </c>
    </row>
    <row r="556" spans="1:34" x14ac:dyDescent="0.25">
      <c r="A556" t="s">
        <v>1619</v>
      </c>
      <c r="B556" t="s">
        <v>1601</v>
      </c>
      <c r="C556" t="s">
        <v>1620</v>
      </c>
      <c r="D556" t="s">
        <v>161</v>
      </c>
      <c r="E556" t="s">
        <v>34</v>
      </c>
      <c r="F556" t="str">
        <f t="shared" si="97"/>
        <v>Data Analyst</v>
      </c>
      <c r="G556" t="str">
        <f t="shared" si="98"/>
        <v>Data Analyst</v>
      </c>
      <c r="H556" t="s">
        <v>47</v>
      </c>
      <c r="I556" t="s">
        <v>48</v>
      </c>
      <c r="J556" t="s">
        <v>49</v>
      </c>
      <c r="K556" t="str">
        <f t="shared" si="99"/>
        <v>Finance</v>
      </c>
      <c r="L556" t="str">
        <f t="shared" si="100"/>
        <v>Finance</v>
      </c>
      <c r="M556" t="s">
        <v>38</v>
      </c>
      <c r="N556" t="str">
        <f t="shared" si="101"/>
        <v>Python</v>
      </c>
      <c r="O556" t="str">
        <f t="shared" si="102"/>
        <v>Python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tr">
        <f t="shared" si="103"/>
        <v>Better Salary</v>
      </c>
      <c r="Y556" t="str">
        <f t="shared" si="104"/>
        <v>Better Salary</v>
      </c>
      <c r="Z556" t="s">
        <v>41</v>
      </c>
      <c r="AA556">
        <v>24</v>
      </c>
      <c r="AB556" t="s">
        <v>271</v>
      </c>
      <c r="AC556" t="str">
        <f t="shared" si="105"/>
        <v>Germany</v>
      </c>
      <c r="AD556" t="str">
        <f t="shared" si="106"/>
        <v>Germany</v>
      </c>
      <c r="AE556" t="s">
        <v>241</v>
      </c>
      <c r="AF556" t="s">
        <v>43</v>
      </c>
      <c r="AG556" t="str">
        <f t="shared" si="96"/>
        <v>White or Caucasian</v>
      </c>
      <c r="AH556" t="str">
        <f t="shared" si="107"/>
        <v>White or Caucasian</v>
      </c>
    </row>
    <row r="557" spans="1:34" x14ac:dyDescent="0.25">
      <c r="A557" t="s">
        <v>1621</v>
      </c>
      <c r="B557" t="s">
        <v>1601</v>
      </c>
      <c r="C557" t="s">
        <v>387</v>
      </c>
      <c r="D557" t="s">
        <v>340</v>
      </c>
      <c r="E557" t="s">
        <v>728</v>
      </c>
      <c r="F557" t="str">
        <f t="shared" si="97"/>
        <v>Data Architect</v>
      </c>
      <c r="G557" t="str">
        <f t="shared" si="98"/>
        <v>Others</v>
      </c>
      <c r="H557" t="s">
        <v>47</v>
      </c>
      <c r="I557" t="s">
        <v>91</v>
      </c>
      <c r="J557" t="s">
        <v>159</v>
      </c>
      <c r="K557" t="str">
        <f t="shared" si="99"/>
        <v>Energy</v>
      </c>
      <c r="L557" t="str">
        <f t="shared" si="100"/>
        <v>Others</v>
      </c>
      <c r="M557" t="s">
        <v>38</v>
      </c>
      <c r="N557" t="str">
        <f t="shared" si="101"/>
        <v>Python</v>
      </c>
      <c r="O557" t="str">
        <f t="shared" si="102"/>
        <v>Python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tr">
        <f t="shared" si="103"/>
        <v>Good Work/Life Balance</v>
      </c>
      <c r="Y557" t="str">
        <f t="shared" si="104"/>
        <v>Good Work/Life Balance</v>
      </c>
      <c r="Z557" t="s">
        <v>41</v>
      </c>
      <c r="AA557">
        <v>31</v>
      </c>
      <c r="AB557" t="s">
        <v>51</v>
      </c>
      <c r="AC557" t="str">
        <f t="shared" si="105"/>
        <v>Canada</v>
      </c>
      <c r="AD557" t="str">
        <f t="shared" si="106"/>
        <v>Canada</v>
      </c>
      <c r="AE557" t="s">
        <v>231</v>
      </c>
      <c r="AF557" t="s">
        <v>43</v>
      </c>
      <c r="AG557" t="str">
        <f t="shared" si="96"/>
        <v>White or Caucasian</v>
      </c>
      <c r="AH557" t="str">
        <f t="shared" si="107"/>
        <v>White or Caucasian</v>
      </c>
    </row>
    <row r="558" spans="1:34" x14ac:dyDescent="0.25">
      <c r="A558" t="s">
        <v>1622</v>
      </c>
      <c r="B558" t="s">
        <v>1601</v>
      </c>
      <c r="C558" t="s">
        <v>564</v>
      </c>
      <c r="D558" t="s">
        <v>511</v>
      </c>
      <c r="E558" t="s">
        <v>34</v>
      </c>
      <c r="F558" t="str">
        <f t="shared" si="97"/>
        <v>Data Analyst</v>
      </c>
      <c r="G558" t="str">
        <f t="shared" si="98"/>
        <v>Data Analyst</v>
      </c>
      <c r="H558" t="s">
        <v>35</v>
      </c>
      <c r="I558" t="s">
        <v>57</v>
      </c>
      <c r="J558" t="s">
        <v>1623</v>
      </c>
      <c r="K558" t="str">
        <f t="shared" si="99"/>
        <v>Retails</v>
      </c>
      <c r="L558" t="str">
        <f t="shared" si="100"/>
        <v>Others</v>
      </c>
      <c r="M558" t="s">
        <v>38</v>
      </c>
      <c r="N558" t="str">
        <f t="shared" si="101"/>
        <v>Python</v>
      </c>
      <c r="O558" t="str">
        <f t="shared" si="102"/>
        <v>Python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tr">
        <f t="shared" si="103"/>
        <v>Better Salary</v>
      </c>
      <c r="Y558" t="str">
        <f t="shared" si="104"/>
        <v>Better Salary</v>
      </c>
      <c r="Z558" t="s">
        <v>41</v>
      </c>
      <c r="AA558">
        <v>25</v>
      </c>
      <c r="AB558" t="s">
        <v>1624</v>
      </c>
      <c r="AC558" t="str">
        <f t="shared" si="105"/>
        <v>Aisa</v>
      </c>
      <c r="AD558" t="str">
        <f t="shared" si="106"/>
        <v>Others</v>
      </c>
      <c r="AE558" t="s">
        <v>241</v>
      </c>
      <c r="AF558" t="s">
        <v>52</v>
      </c>
      <c r="AG558" t="str">
        <f t="shared" si="96"/>
        <v>Asian or Asian American</v>
      </c>
      <c r="AH558" t="str">
        <f t="shared" si="107"/>
        <v>Asian or Asian American</v>
      </c>
    </row>
    <row r="559" spans="1:34" x14ac:dyDescent="0.25">
      <c r="A559" t="s">
        <v>1625</v>
      </c>
      <c r="B559" t="s">
        <v>1601</v>
      </c>
      <c r="C559" t="s">
        <v>1626</v>
      </c>
      <c r="D559" t="s">
        <v>154</v>
      </c>
      <c r="E559" t="s">
        <v>127</v>
      </c>
      <c r="F559" t="str">
        <f t="shared" si="97"/>
        <v>Student/Looking/None</v>
      </c>
      <c r="G559" t="str">
        <f t="shared" si="98"/>
        <v>Student/Looking/None</v>
      </c>
      <c r="H559" t="s">
        <v>47</v>
      </c>
      <c r="I559" t="s">
        <v>57</v>
      </c>
      <c r="J559" t="s">
        <v>107</v>
      </c>
      <c r="K559" t="str">
        <f t="shared" si="99"/>
        <v>Tech</v>
      </c>
      <c r="L559" t="str">
        <f t="shared" si="100"/>
        <v>Tech</v>
      </c>
      <c r="M559" t="s">
        <v>50</v>
      </c>
      <c r="N559" t="str">
        <f t="shared" si="101"/>
        <v>R</v>
      </c>
      <c r="O559" t="str">
        <f t="shared" si="102"/>
        <v>R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tr">
        <f t="shared" si="103"/>
        <v>Better Salary</v>
      </c>
      <c r="Y559" t="str">
        <f t="shared" si="104"/>
        <v>Better Salary</v>
      </c>
      <c r="Z559" t="s">
        <v>41</v>
      </c>
      <c r="AA559">
        <v>25</v>
      </c>
      <c r="AB559" t="s">
        <v>151</v>
      </c>
      <c r="AC559" t="str">
        <f t="shared" si="105"/>
        <v>India</v>
      </c>
      <c r="AD559" t="str">
        <f t="shared" si="106"/>
        <v>India</v>
      </c>
      <c r="AE559" t="s">
        <v>241</v>
      </c>
      <c r="AF559" t="s">
        <v>52</v>
      </c>
      <c r="AG559" t="str">
        <f t="shared" si="96"/>
        <v>Asian or Asian American</v>
      </c>
      <c r="AH559" t="str">
        <f t="shared" si="107"/>
        <v>Asian or Asian American</v>
      </c>
    </row>
    <row r="560" spans="1:34" x14ac:dyDescent="0.25">
      <c r="A560" t="s">
        <v>1627</v>
      </c>
      <c r="B560" t="s">
        <v>1601</v>
      </c>
      <c r="C560" t="s">
        <v>1628</v>
      </c>
      <c r="D560" t="s">
        <v>154</v>
      </c>
      <c r="E560" t="s">
        <v>34</v>
      </c>
      <c r="F560" t="str">
        <f t="shared" si="97"/>
        <v>Data Analyst</v>
      </c>
      <c r="G560" t="str">
        <f t="shared" si="98"/>
        <v>Data Analyst</v>
      </c>
      <c r="H560" t="s">
        <v>47</v>
      </c>
      <c r="I560" t="s">
        <v>57</v>
      </c>
      <c r="J560" t="s">
        <v>107</v>
      </c>
      <c r="K560" t="str">
        <f t="shared" si="99"/>
        <v>Tech</v>
      </c>
      <c r="L560" t="str">
        <f t="shared" si="100"/>
        <v>Tech</v>
      </c>
      <c r="M560" t="s">
        <v>38</v>
      </c>
      <c r="N560" t="str">
        <f t="shared" si="101"/>
        <v>Python</v>
      </c>
      <c r="O560" t="str">
        <f t="shared" si="102"/>
        <v>Python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tr">
        <f t="shared" si="103"/>
        <v>Good Work/Life Balance</v>
      </c>
      <c r="Y560" t="str">
        <f t="shared" si="104"/>
        <v>Good Work/Life Balance</v>
      </c>
      <c r="Z560" t="s">
        <v>41</v>
      </c>
      <c r="AA560">
        <v>23</v>
      </c>
      <c r="AB560" t="s">
        <v>151</v>
      </c>
      <c r="AC560" t="str">
        <f t="shared" si="105"/>
        <v>India</v>
      </c>
      <c r="AD560" t="str">
        <f t="shared" si="106"/>
        <v>India</v>
      </c>
      <c r="AE560" t="s">
        <v>241</v>
      </c>
      <c r="AF560" t="s">
        <v>52</v>
      </c>
      <c r="AG560" t="str">
        <f t="shared" si="96"/>
        <v>Asian or Asian American</v>
      </c>
      <c r="AH560" t="str">
        <f t="shared" si="107"/>
        <v>Asian or Asian American</v>
      </c>
    </row>
    <row r="561" spans="1:34" x14ac:dyDescent="0.25">
      <c r="A561" t="s">
        <v>1629</v>
      </c>
      <c r="B561" t="s">
        <v>1601</v>
      </c>
      <c r="C561" t="s">
        <v>802</v>
      </c>
      <c r="D561" t="s">
        <v>393</v>
      </c>
      <c r="E561" t="s">
        <v>1630</v>
      </c>
      <c r="F561" t="str">
        <f t="shared" si="97"/>
        <v>Ads operations</v>
      </c>
      <c r="G561" t="str">
        <f t="shared" si="98"/>
        <v>Others</v>
      </c>
      <c r="H561" t="s">
        <v>35</v>
      </c>
      <c r="I561" t="s">
        <v>48</v>
      </c>
      <c r="J561" t="s">
        <v>1631</v>
      </c>
      <c r="K561" t="str">
        <f t="shared" si="99"/>
        <v>Digital Marketing</v>
      </c>
      <c r="L561" t="str">
        <f t="shared" si="100"/>
        <v>Others</v>
      </c>
      <c r="M561" t="s">
        <v>322</v>
      </c>
      <c r="N561" t="str">
        <f t="shared" si="101"/>
        <v>Sql</v>
      </c>
      <c r="O561" t="str">
        <f t="shared" si="102"/>
        <v>Sql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tr">
        <f t="shared" si="103"/>
        <v>Remote too</v>
      </c>
      <c r="Y561" t="str">
        <f t="shared" si="104"/>
        <v>Others</v>
      </c>
      <c r="Z561" t="s">
        <v>41</v>
      </c>
      <c r="AA561">
        <v>23</v>
      </c>
      <c r="AB561" t="s">
        <v>151</v>
      </c>
      <c r="AC561" t="str">
        <f t="shared" si="105"/>
        <v>India</v>
      </c>
      <c r="AD561" t="str">
        <f t="shared" si="106"/>
        <v>India</v>
      </c>
      <c r="AE561" t="s">
        <v>241</v>
      </c>
      <c r="AF561" t="s">
        <v>52</v>
      </c>
      <c r="AG561" t="str">
        <f t="shared" si="96"/>
        <v>Asian or Asian American</v>
      </c>
      <c r="AH561" t="str">
        <f t="shared" si="107"/>
        <v>Asian or Asian American</v>
      </c>
    </row>
    <row r="562" spans="1:34" x14ac:dyDescent="0.25">
      <c r="A562" t="s">
        <v>1633</v>
      </c>
      <c r="B562" t="s">
        <v>1601</v>
      </c>
      <c r="C562" t="s">
        <v>949</v>
      </c>
      <c r="D562" t="s">
        <v>139</v>
      </c>
      <c r="E562" t="s">
        <v>34</v>
      </c>
      <c r="F562" t="str">
        <f t="shared" si="97"/>
        <v>Data Analyst</v>
      </c>
      <c r="G562" t="str">
        <f t="shared" si="98"/>
        <v>Data Analyst</v>
      </c>
      <c r="H562" t="s">
        <v>47</v>
      </c>
      <c r="I562" t="s">
        <v>91</v>
      </c>
      <c r="J562" t="s">
        <v>37</v>
      </c>
      <c r="K562" t="str">
        <f t="shared" si="99"/>
        <v>Healthcare</v>
      </c>
      <c r="L562" t="str">
        <f t="shared" si="100"/>
        <v>Healthcare</v>
      </c>
      <c r="M562" t="s">
        <v>38</v>
      </c>
      <c r="N562" t="str">
        <f t="shared" si="101"/>
        <v>Python</v>
      </c>
      <c r="O562" t="str">
        <f t="shared" si="102"/>
        <v>Python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tr">
        <f t="shared" si="103"/>
        <v>Better Salary</v>
      </c>
      <c r="Y562" t="str">
        <f t="shared" si="104"/>
        <v>Better Salary</v>
      </c>
      <c r="Z562" t="s">
        <v>41</v>
      </c>
      <c r="AA562">
        <v>40</v>
      </c>
      <c r="AB562" t="s">
        <v>42</v>
      </c>
      <c r="AC562" t="str">
        <f t="shared" si="105"/>
        <v>United States</v>
      </c>
      <c r="AD562" t="str">
        <f t="shared" si="106"/>
        <v>United States</v>
      </c>
      <c r="AE562" t="s">
        <v>231</v>
      </c>
      <c r="AF562" t="s">
        <v>43</v>
      </c>
      <c r="AG562" t="str">
        <f t="shared" si="96"/>
        <v>White or Caucasian</v>
      </c>
      <c r="AH562" t="str">
        <f t="shared" si="107"/>
        <v>White or Caucasian</v>
      </c>
    </row>
    <row r="563" spans="1:34" x14ac:dyDescent="0.25">
      <c r="A563" t="s">
        <v>1634</v>
      </c>
      <c r="B563" t="s">
        <v>1601</v>
      </c>
      <c r="C563" t="s">
        <v>1635</v>
      </c>
      <c r="D563" t="s">
        <v>375</v>
      </c>
      <c r="E563" t="s">
        <v>34</v>
      </c>
      <c r="F563" t="str">
        <f t="shared" si="97"/>
        <v>Data Analyst</v>
      </c>
      <c r="G563" t="str">
        <f t="shared" si="98"/>
        <v>Data Analyst</v>
      </c>
      <c r="H563" t="s">
        <v>47</v>
      </c>
      <c r="I563" t="s">
        <v>48</v>
      </c>
      <c r="J563" t="s">
        <v>1636</v>
      </c>
      <c r="K563" t="str">
        <f t="shared" si="99"/>
        <v>Homelessness</v>
      </c>
      <c r="L563" t="str">
        <f t="shared" si="100"/>
        <v>Others</v>
      </c>
      <c r="M563" t="s">
        <v>261</v>
      </c>
      <c r="N563" t="str">
        <f t="shared" si="101"/>
        <v>C/C++</v>
      </c>
      <c r="O563" t="str">
        <f t="shared" si="102"/>
        <v>C/C++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tr">
        <f t="shared" si="103"/>
        <v>Better Salary</v>
      </c>
      <c r="Y563" t="str">
        <f t="shared" si="104"/>
        <v>Better Salary</v>
      </c>
      <c r="Z563" t="s">
        <v>41</v>
      </c>
      <c r="AA563">
        <v>29</v>
      </c>
      <c r="AB563" t="s">
        <v>42</v>
      </c>
      <c r="AC563" t="str">
        <f t="shared" si="105"/>
        <v>United States</v>
      </c>
      <c r="AD563" t="str">
        <f t="shared" si="106"/>
        <v>United States</v>
      </c>
      <c r="AE563" t="s">
        <v>241</v>
      </c>
      <c r="AF563" t="s">
        <v>95</v>
      </c>
      <c r="AG563" t="str">
        <f t="shared" si="96"/>
        <v>Hispanic or Latino</v>
      </c>
      <c r="AH563" t="str">
        <f t="shared" si="107"/>
        <v>Hispanic or Latino</v>
      </c>
    </row>
    <row r="564" spans="1:34" x14ac:dyDescent="0.25">
      <c r="A564" t="s">
        <v>1637</v>
      </c>
      <c r="B564" t="s">
        <v>1601</v>
      </c>
      <c r="C564" t="s">
        <v>1638</v>
      </c>
      <c r="D564" t="s">
        <v>1495</v>
      </c>
      <c r="E564" t="s">
        <v>34</v>
      </c>
      <c r="F564" t="str">
        <f t="shared" si="97"/>
        <v>Data Analyst</v>
      </c>
      <c r="G564" t="str">
        <f t="shared" si="98"/>
        <v>Data Analyst</v>
      </c>
      <c r="H564" t="s">
        <v>35</v>
      </c>
      <c r="I564" t="s">
        <v>57</v>
      </c>
      <c r="J564" t="s">
        <v>107</v>
      </c>
      <c r="K564" t="str">
        <f t="shared" si="99"/>
        <v>Tech</v>
      </c>
      <c r="L564" t="str">
        <f t="shared" si="100"/>
        <v>Tech</v>
      </c>
      <c r="M564" t="s">
        <v>38</v>
      </c>
      <c r="N564" t="str">
        <f t="shared" si="101"/>
        <v>Python</v>
      </c>
      <c r="O564" t="str">
        <f t="shared" si="102"/>
        <v>Python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tr">
        <f t="shared" si="103"/>
        <v>Better Salary</v>
      </c>
      <c r="Y564" t="str">
        <f t="shared" si="104"/>
        <v>Better Salary</v>
      </c>
      <c r="Z564" t="s">
        <v>41</v>
      </c>
      <c r="AA564">
        <v>28</v>
      </c>
      <c r="AB564" t="s">
        <v>151</v>
      </c>
      <c r="AC564" t="str">
        <f t="shared" si="105"/>
        <v>India</v>
      </c>
      <c r="AD564" t="str">
        <f t="shared" si="106"/>
        <v>India</v>
      </c>
      <c r="AE564" t="s">
        <v>241</v>
      </c>
      <c r="AF564" t="s">
        <v>1639</v>
      </c>
      <c r="AG564" t="str">
        <f t="shared" si="96"/>
        <v>South Indian</v>
      </c>
      <c r="AH564" t="str">
        <f t="shared" si="107"/>
        <v>Others</v>
      </c>
    </row>
    <row r="565" spans="1:34" x14ac:dyDescent="0.25">
      <c r="A565" t="s">
        <v>1640</v>
      </c>
      <c r="B565" t="s">
        <v>1601</v>
      </c>
      <c r="C565" t="s">
        <v>1641</v>
      </c>
      <c r="D565" t="s">
        <v>254</v>
      </c>
      <c r="E565" t="s">
        <v>34</v>
      </c>
      <c r="F565" t="str">
        <f t="shared" si="97"/>
        <v>Data Analyst</v>
      </c>
      <c r="G565" t="str">
        <f t="shared" si="98"/>
        <v>Data Analyst</v>
      </c>
      <c r="H565" t="s">
        <v>35</v>
      </c>
      <c r="I565" t="s">
        <v>57</v>
      </c>
      <c r="J565" t="s">
        <v>37</v>
      </c>
      <c r="K565" t="str">
        <f t="shared" si="99"/>
        <v>Healthcare</v>
      </c>
      <c r="L565" t="str">
        <f t="shared" si="100"/>
        <v>Healthcare</v>
      </c>
      <c r="M565" t="s">
        <v>50</v>
      </c>
      <c r="N565" t="str">
        <f t="shared" si="101"/>
        <v>R</v>
      </c>
      <c r="O565" t="str">
        <f t="shared" si="102"/>
        <v>R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tr">
        <f t="shared" si="103"/>
        <v>Better Salary</v>
      </c>
      <c r="Y565" t="str">
        <f t="shared" si="104"/>
        <v>Better Salary</v>
      </c>
      <c r="Z565" t="s">
        <v>69</v>
      </c>
      <c r="AA565">
        <v>28</v>
      </c>
      <c r="AB565" t="s">
        <v>113</v>
      </c>
      <c r="AC565" t="str">
        <f t="shared" si="105"/>
        <v>United Kingdom</v>
      </c>
      <c r="AD565" t="str">
        <f t="shared" si="106"/>
        <v>United Kingdom</v>
      </c>
      <c r="AE565" t="s">
        <v>244</v>
      </c>
      <c r="AF565" t="s">
        <v>62</v>
      </c>
      <c r="AG565" t="str">
        <f t="shared" si="96"/>
        <v>Black or African American</v>
      </c>
      <c r="AH565" t="str">
        <f t="shared" si="107"/>
        <v>Black or African American</v>
      </c>
    </row>
    <row r="566" spans="1:34" x14ac:dyDescent="0.25">
      <c r="A566" t="s">
        <v>1642</v>
      </c>
      <c r="B566" t="s">
        <v>1601</v>
      </c>
      <c r="C566" t="s">
        <v>1643</v>
      </c>
      <c r="D566" t="s">
        <v>967</v>
      </c>
      <c r="E566" t="s">
        <v>127</v>
      </c>
      <c r="F566" t="str">
        <f t="shared" si="97"/>
        <v>Student/Looking/None</v>
      </c>
      <c r="G566" t="str">
        <f t="shared" si="98"/>
        <v>Student/Looking/None</v>
      </c>
      <c r="H566" t="s">
        <v>35</v>
      </c>
      <c r="I566" t="s">
        <v>57</v>
      </c>
      <c r="J566" t="s">
        <v>94</v>
      </c>
      <c r="K566" t="str">
        <f t="shared" si="99"/>
        <v>Telecommunication</v>
      </c>
      <c r="L566" t="str">
        <f t="shared" si="100"/>
        <v>Telecommunication</v>
      </c>
      <c r="M566" t="s">
        <v>38</v>
      </c>
      <c r="N566" t="str">
        <f t="shared" si="101"/>
        <v>Python</v>
      </c>
      <c r="O566" t="str">
        <f t="shared" si="102"/>
        <v>Python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tr">
        <f t="shared" si="103"/>
        <v>Good Work/Life Balance</v>
      </c>
      <c r="Y566" t="str">
        <f t="shared" si="104"/>
        <v>Good Work/Life Balance</v>
      </c>
      <c r="Z566" t="s">
        <v>69</v>
      </c>
      <c r="AA566">
        <v>26</v>
      </c>
      <c r="AB566" t="s">
        <v>151</v>
      </c>
      <c r="AC566" t="str">
        <f t="shared" si="105"/>
        <v>India</v>
      </c>
      <c r="AD566" t="str">
        <f t="shared" si="106"/>
        <v>India</v>
      </c>
      <c r="AE566" t="s">
        <v>244</v>
      </c>
      <c r="AF566" t="s">
        <v>52</v>
      </c>
      <c r="AG566" t="str">
        <f t="shared" si="96"/>
        <v>Asian or Asian American</v>
      </c>
      <c r="AH566" t="str">
        <f t="shared" si="107"/>
        <v>Asian or Asian American</v>
      </c>
    </row>
    <row r="567" spans="1:34" x14ac:dyDescent="0.25">
      <c r="A567" t="s">
        <v>1644</v>
      </c>
      <c r="B567" t="s">
        <v>1645</v>
      </c>
      <c r="C567" t="s">
        <v>1646</v>
      </c>
      <c r="D567" t="s">
        <v>292</v>
      </c>
      <c r="E567" t="s">
        <v>56</v>
      </c>
      <c r="F567" t="str">
        <f t="shared" si="97"/>
        <v>Data Engineer</v>
      </c>
      <c r="G567" t="str">
        <f t="shared" si="98"/>
        <v>Data Engineer</v>
      </c>
      <c r="H567" t="s">
        <v>47</v>
      </c>
      <c r="I567" t="s">
        <v>48</v>
      </c>
      <c r="J567" t="s">
        <v>117</v>
      </c>
      <c r="K567" t="str">
        <f t="shared" si="99"/>
        <v>Construction</v>
      </c>
      <c r="L567" t="str">
        <f t="shared" si="100"/>
        <v>Construction</v>
      </c>
      <c r="M567" t="s">
        <v>38</v>
      </c>
      <c r="N567" t="str">
        <f t="shared" si="101"/>
        <v>Python</v>
      </c>
      <c r="O567" t="str">
        <f t="shared" si="102"/>
        <v>Python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tr">
        <f t="shared" si="103"/>
        <v>Better Salary</v>
      </c>
      <c r="Y567" t="str">
        <f t="shared" si="104"/>
        <v>Better Salary</v>
      </c>
      <c r="Z567" t="s">
        <v>41</v>
      </c>
      <c r="AA567">
        <v>30</v>
      </c>
      <c r="AB567" t="s">
        <v>323</v>
      </c>
      <c r="AC567" t="str">
        <f t="shared" si="105"/>
        <v>Netherlands</v>
      </c>
      <c r="AD567" t="str">
        <f t="shared" si="106"/>
        <v>Netherlands</v>
      </c>
      <c r="AE567" t="s">
        <v>244</v>
      </c>
      <c r="AF567" t="s">
        <v>43</v>
      </c>
      <c r="AG567" t="str">
        <f t="shared" si="96"/>
        <v>White or Caucasian</v>
      </c>
      <c r="AH567" t="str">
        <f t="shared" si="107"/>
        <v>White or Caucasian</v>
      </c>
    </row>
    <row r="568" spans="1:34" x14ac:dyDescent="0.25">
      <c r="A568" t="s">
        <v>1647</v>
      </c>
      <c r="B568" t="s">
        <v>1645</v>
      </c>
      <c r="C568" t="s">
        <v>1648</v>
      </c>
      <c r="D568" t="s">
        <v>471</v>
      </c>
      <c r="E568" t="s">
        <v>34</v>
      </c>
      <c r="F568" t="str">
        <f t="shared" si="97"/>
        <v>Data Analyst</v>
      </c>
      <c r="G568" t="str">
        <f t="shared" si="98"/>
        <v>Data Analyst</v>
      </c>
      <c r="H568" t="s">
        <v>35</v>
      </c>
      <c r="I568" t="s">
        <v>98</v>
      </c>
      <c r="J568" t="s">
        <v>112</v>
      </c>
      <c r="K568" t="str">
        <f t="shared" si="99"/>
        <v>Education</v>
      </c>
      <c r="L568" t="str">
        <f t="shared" si="100"/>
        <v>Education</v>
      </c>
      <c r="M568" t="s">
        <v>88</v>
      </c>
      <c r="N568" t="str">
        <f t="shared" si="101"/>
        <v>SQL</v>
      </c>
      <c r="O568" t="str">
        <f t="shared" si="102"/>
        <v>SQL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tr">
        <f t="shared" si="103"/>
        <v>Better Salary</v>
      </c>
      <c r="Y568" t="str">
        <f t="shared" si="104"/>
        <v>Better Salary</v>
      </c>
      <c r="Z568" t="s">
        <v>41</v>
      </c>
      <c r="AA568">
        <v>27</v>
      </c>
      <c r="AB568" t="s">
        <v>203</v>
      </c>
      <c r="AC568" t="str">
        <f t="shared" si="105"/>
        <v>Australia</v>
      </c>
      <c r="AD568" t="str">
        <f t="shared" si="106"/>
        <v>Australia</v>
      </c>
      <c r="AE568" t="s">
        <v>241</v>
      </c>
      <c r="AF568" t="s">
        <v>52</v>
      </c>
      <c r="AG568" t="str">
        <f t="shared" si="96"/>
        <v>Asian or Asian American</v>
      </c>
      <c r="AH568" t="str">
        <f t="shared" si="107"/>
        <v>Asian or Asian American</v>
      </c>
    </row>
    <row r="569" spans="1:34" x14ac:dyDescent="0.25">
      <c r="A569" t="s">
        <v>1649</v>
      </c>
      <c r="B569" t="s">
        <v>1645</v>
      </c>
      <c r="C569" t="s">
        <v>1650</v>
      </c>
      <c r="D569" t="s">
        <v>116</v>
      </c>
      <c r="E569" t="s">
        <v>34</v>
      </c>
      <c r="F569" t="str">
        <f t="shared" si="97"/>
        <v>Data Analyst</v>
      </c>
      <c r="G569" t="str">
        <f t="shared" si="98"/>
        <v>Data Analyst</v>
      </c>
      <c r="H569" t="s">
        <v>35</v>
      </c>
      <c r="I569" t="s">
        <v>57</v>
      </c>
      <c r="J569" t="s">
        <v>1651</v>
      </c>
      <c r="K569" t="str">
        <f t="shared" si="99"/>
        <v>Retail</v>
      </c>
      <c r="L569" t="str">
        <f t="shared" si="100"/>
        <v>Retail</v>
      </c>
      <c r="M569" t="s">
        <v>678</v>
      </c>
      <c r="N569" t="str">
        <f t="shared" si="101"/>
        <v>None</v>
      </c>
      <c r="O569" t="str">
        <f t="shared" si="102"/>
        <v>None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tr">
        <f t="shared" si="103"/>
        <v>Remote Work</v>
      </c>
      <c r="Y569" t="str">
        <f t="shared" si="104"/>
        <v>Remote Work</v>
      </c>
      <c r="Z569" t="s">
        <v>41</v>
      </c>
      <c r="AA569">
        <v>28</v>
      </c>
      <c r="AB569" t="s">
        <v>61</v>
      </c>
      <c r="AC569" t="str">
        <f t="shared" si="105"/>
        <v>Nigeria</v>
      </c>
      <c r="AD569" t="str">
        <f t="shared" si="106"/>
        <v>Nigeria</v>
      </c>
      <c r="AE569" t="s">
        <v>241</v>
      </c>
      <c r="AF569" t="s">
        <v>62</v>
      </c>
      <c r="AG569" t="str">
        <f t="shared" si="96"/>
        <v>Black or African American</v>
      </c>
      <c r="AH569" t="str">
        <f t="shared" si="107"/>
        <v>Black or African American</v>
      </c>
    </row>
    <row r="570" spans="1:34" x14ac:dyDescent="0.25">
      <c r="A570" t="s">
        <v>1652</v>
      </c>
      <c r="B570" t="s">
        <v>1645</v>
      </c>
      <c r="C570" t="s">
        <v>1653</v>
      </c>
      <c r="D570" t="s">
        <v>177</v>
      </c>
      <c r="E570" t="s">
        <v>34</v>
      </c>
      <c r="F570" t="str">
        <f t="shared" si="97"/>
        <v>Data Analyst</v>
      </c>
      <c r="G570" t="str">
        <f t="shared" si="98"/>
        <v>Data Analyst</v>
      </c>
      <c r="H570" t="s">
        <v>47</v>
      </c>
      <c r="I570" t="s">
        <v>98</v>
      </c>
      <c r="J570" t="s">
        <v>112</v>
      </c>
      <c r="K570" t="str">
        <f t="shared" si="99"/>
        <v>Education</v>
      </c>
      <c r="L570" t="str">
        <f t="shared" si="100"/>
        <v>Education</v>
      </c>
      <c r="M570" t="s">
        <v>38</v>
      </c>
      <c r="N570" t="str">
        <f t="shared" si="101"/>
        <v>Python</v>
      </c>
      <c r="O570" t="str">
        <f t="shared" si="102"/>
        <v>Python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tr">
        <f t="shared" si="103"/>
        <v>Good Work/Life Balance</v>
      </c>
      <c r="Y570" t="str">
        <f t="shared" si="104"/>
        <v>Good Work/Life Balance</v>
      </c>
      <c r="Z570" t="s">
        <v>69</v>
      </c>
      <c r="AA570">
        <v>38</v>
      </c>
      <c r="AB570" t="s">
        <v>61</v>
      </c>
      <c r="AC570" t="str">
        <f t="shared" si="105"/>
        <v>Nigeria</v>
      </c>
      <c r="AD570" t="str">
        <f t="shared" si="106"/>
        <v>Nigeria</v>
      </c>
      <c r="AE570" t="s">
        <v>244</v>
      </c>
      <c r="AF570" t="s">
        <v>62</v>
      </c>
      <c r="AG570" t="str">
        <f t="shared" si="96"/>
        <v>Black or African American</v>
      </c>
      <c r="AH570" t="str">
        <f t="shared" si="107"/>
        <v>Black or African American</v>
      </c>
    </row>
    <row r="571" spans="1:34" x14ac:dyDescent="0.25">
      <c r="A571" t="s">
        <v>1654</v>
      </c>
      <c r="B571" t="s">
        <v>1645</v>
      </c>
      <c r="C571" t="s">
        <v>1655</v>
      </c>
      <c r="D571" t="s">
        <v>393</v>
      </c>
      <c r="E571" t="s">
        <v>34</v>
      </c>
      <c r="F571" t="str">
        <f t="shared" si="97"/>
        <v>Data Analyst</v>
      </c>
      <c r="G571" t="str">
        <f t="shared" si="98"/>
        <v>Data Analyst</v>
      </c>
      <c r="H571" t="s">
        <v>47</v>
      </c>
      <c r="I571" t="s">
        <v>57</v>
      </c>
      <c r="J571" t="s">
        <v>49</v>
      </c>
      <c r="K571" t="str">
        <f t="shared" si="99"/>
        <v>Finance</v>
      </c>
      <c r="L571" t="str">
        <f t="shared" si="100"/>
        <v>Finance</v>
      </c>
      <c r="M571" t="s">
        <v>38</v>
      </c>
      <c r="N571" t="str">
        <f t="shared" si="101"/>
        <v>Python</v>
      </c>
      <c r="O571" t="str">
        <f t="shared" si="102"/>
        <v>Python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tr">
        <f t="shared" si="103"/>
        <v>Good Culture</v>
      </c>
      <c r="Y571" t="str">
        <f t="shared" si="104"/>
        <v>Good Culture</v>
      </c>
      <c r="Z571" t="s">
        <v>41</v>
      </c>
      <c r="AA571">
        <v>22</v>
      </c>
      <c r="AB571" t="s">
        <v>351</v>
      </c>
      <c r="AC571" t="str">
        <f t="shared" si="105"/>
        <v>Mexico</v>
      </c>
      <c r="AD571" t="str">
        <f t="shared" si="106"/>
        <v>Mexico</v>
      </c>
      <c r="AE571" t="s">
        <v>241</v>
      </c>
      <c r="AF571" t="s">
        <v>43</v>
      </c>
      <c r="AG571" t="str">
        <f t="shared" si="96"/>
        <v>White or Caucasian</v>
      </c>
      <c r="AH571" t="str">
        <f t="shared" si="107"/>
        <v>White or Caucasian</v>
      </c>
    </row>
    <row r="572" spans="1:34" x14ac:dyDescent="0.25">
      <c r="A572" t="s">
        <v>1656</v>
      </c>
      <c r="B572" t="s">
        <v>1645</v>
      </c>
      <c r="C572" t="s">
        <v>1657</v>
      </c>
      <c r="D572" t="s">
        <v>321</v>
      </c>
      <c r="E572" t="s">
        <v>34</v>
      </c>
      <c r="F572" t="str">
        <f t="shared" si="97"/>
        <v>Data Analyst</v>
      </c>
      <c r="G572" t="str">
        <f t="shared" si="98"/>
        <v>Data Analyst</v>
      </c>
      <c r="H572" t="s">
        <v>35</v>
      </c>
      <c r="I572" t="s">
        <v>91</v>
      </c>
      <c r="J572" t="s">
        <v>159</v>
      </c>
      <c r="K572" t="str">
        <f t="shared" si="99"/>
        <v>Energy</v>
      </c>
      <c r="L572" t="str">
        <f t="shared" si="100"/>
        <v>Others</v>
      </c>
      <c r="M572" t="s">
        <v>38</v>
      </c>
      <c r="N572" t="str">
        <f t="shared" si="101"/>
        <v>Python</v>
      </c>
      <c r="O572" t="str">
        <f t="shared" si="102"/>
        <v>Python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tr">
        <f t="shared" si="103"/>
        <v>Better Salary</v>
      </c>
      <c r="Y572" t="str">
        <f t="shared" si="104"/>
        <v>Better Salary</v>
      </c>
      <c r="Z572" t="s">
        <v>41</v>
      </c>
      <c r="AA572">
        <v>34</v>
      </c>
      <c r="AB572" t="s">
        <v>42</v>
      </c>
      <c r="AC572" t="str">
        <f t="shared" si="105"/>
        <v>United States</v>
      </c>
      <c r="AD572" t="str">
        <f t="shared" si="106"/>
        <v>United States</v>
      </c>
      <c r="AE572" t="s">
        <v>241</v>
      </c>
      <c r="AF572" t="s">
        <v>95</v>
      </c>
      <c r="AG572" t="str">
        <f t="shared" si="96"/>
        <v>Hispanic or Latino</v>
      </c>
      <c r="AH572" t="str">
        <f t="shared" si="107"/>
        <v>Hispanic or Latino</v>
      </c>
    </row>
    <row r="573" spans="1:34" x14ac:dyDescent="0.25">
      <c r="A573" t="s">
        <v>1658</v>
      </c>
      <c r="B573" t="s">
        <v>1645</v>
      </c>
      <c r="C573" t="s">
        <v>1659</v>
      </c>
      <c r="D573" t="s">
        <v>154</v>
      </c>
      <c r="E573" t="s">
        <v>34</v>
      </c>
      <c r="F573" t="str">
        <f t="shared" si="97"/>
        <v>Data Analyst</v>
      </c>
      <c r="G573" t="str">
        <f t="shared" si="98"/>
        <v>Data Analyst</v>
      </c>
      <c r="H573" t="s">
        <v>47</v>
      </c>
      <c r="I573" t="s">
        <v>57</v>
      </c>
      <c r="J573" t="s">
        <v>107</v>
      </c>
      <c r="K573" t="str">
        <f t="shared" si="99"/>
        <v>Tech</v>
      </c>
      <c r="L573" t="str">
        <f t="shared" si="100"/>
        <v>Tech</v>
      </c>
      <c r="M573" t="s">
        <v>38</v>
      </c>
      <c r="N573" t="str">
        <f t="shared" si="101"/>
        <v>Python</v>
      </c>
      <c r="O573" t="str">
        <f t="shared" si="102"/>
        <v>Python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tr">
        <f t="shared" si="103"/>
        <v>Better Salary</v>
      </c>
      <c r="Y573" t="str">
        <f t="shared" si="104"/>
        <v>Better Salary</v>
      </c>
      <c r="Z573" t="s">
        <v>41</v>
      </c>
      <c r="AA573">
        <v>26</v>
      </c>
      <c r="AB573" t="s">
        <v>1492</v>
      </c>
      <c r="AC573" t="str">
        <f t="shared" si="105"/>
        <v>Indonesia</v>
      </c>
      <c r="AD573" t="str">
        <f t="shared" si="106"/>
        <v>Others</v>
      </c>
      <c r="AE573" t="s">
        <v>241</v>
      </c>
      <c r="AF573" t="s">
        <v>52</v>
      </c>
      <c r="AG573" t="str">
        <f t="shared" si="96"/>
        <v>Asian or Asian American</v>
      </c>
      <c r="AH573" t="str">
        <f t="shared" si="107"/>
        <v>Asian or Asian American</v>
      </c>
    </row>
    <row r="574" spans="1:34" x14ac:dyDescent="0.25">
      <c r="A574" t="s">
        <v>1660</v>
      </c>
      <c r="B574" t="s">
        <v>1645</v>
      </c>
      <c r="C574" t="s">
        <v>567</v>
      </c>
      <c r="D574" t="s">
        <v>123</v>
      </c>
      <c r="E574" t="s">
        <v>34</v>
      </c>
      <c r="F574" t="str">
        <f t="shared" si="97"/>
        <v>Data Analyst</v>
      </c>
      <c r="G574" t="str">
        <f t="shared" si="98"/>
        <v>Data Analyst</v>
      </c>
      <c r="H574" t="s">
        <v>35</v>
      </c>
      <c r="I574" t="s">
        <v>98</v>
      </c>
      <c r="J574" t="s">
        <v>107</v>
      </c>
      <c r="K574" t="str">
        <f t="shared" si="99"/>
        <v>Tech</v>
      </c>
      <c r="L574" t="str">
        <f t="shared" si="100"/>
        <v>Tech</v>
      </c>
      <c r="M574" t="s">
        <v>38</v>
      </c>
      <c r="N574" t="str">
        <f t="shared" si="101"/>
        <v>Python</v>
      </c>
      <c r="O574" t="str">
        <f t="shared" si="102"/>
        <v>Python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tr">
        <f t="shared" si="103"/>
        <v>Better Salary</v>
      </c>
      <c r="Y574" t="str">
        <f t="shared" si="104"/>
        <v>Better Salary</v>
      </c>
      <c r="Z574" t="s">
        <v>69</v>
      </c>
      <c r="AA574">
        <v>26</v>
      </c>
      <c r="AB574" t="s">
        <v>51</v>
      </c>
      <c r="AC574" t="str">
        <f t="shared" si="105"/>
        <v>Canada</v>
      </c>
      <c r="AD574" t="str">
        <f t="shared" si="106"/>
        <v>Canada</v>
      </c>
      <c r="AE574" t="s">
        <v>241</v>
      </c>
      <c r="AF574" t="s">
        <v>52</v>
      </c>
      <c r="AG574" t="str">
        <f t="shared" si="96"/>
        <v>Asian or Asian American</v>
      </c>
      <c r="AH574" t="str">
        <f t="shared" si="107"/>
        <v>Asian or Asian American</v>
      </c>
    </row>
    <row r="575" spans="1:34" x14ac:dyDescent="0.25">
      <c r="A575" t="s">
        <v>1661</v>
      </c>
      <c r="B575" t="s">
        <v>1645</v>
      </c>
      <c r="C575" t="s">
        <v>618</v>
      </c>
      <c r="D575" t="s">
        <v>135</v>
      </c>
      <c r="E575" t="s">
        <v>56</v>
      </c>
      <c r="F575" t="str">
        <f t="shared" si="97"/>
        <v>Data Engineer</v>
      </c>
      <c r="G575" t="str">
        <f t="shared" si="98"/>
        <v>Data Engineer</v>
      </c>
      <c r="H575" t="s">
        <v>47</v>
      </c>
      <c r="I575" t="s">
        <v>98</v>
      </c>
      <c r="J575" t="s">
        <v>112</v>
      </c>
      <c r="K575" t="str">
        <f t="shared" si="99"/>
        <v>Education</v>
      </c>
      <c r="L575" t="str">
        <f t="shared" si="100"/>
        <v>Education</v>
      </c>
      <c r="M575" t="s">
        <v>38</v>
      </c>
      <c r="N575" t="str">
        <f t="shared" si="101"/>
        <v>Python</v>
      </c>
      <c r="O575" t="str">
        <f t="shared" si="102"/>
        <v>Python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tr">
        <f t="shared" si="103"/>
        <v>Remote Work</v>
      </c>
      <c r="Y575" t="str">
        <f t="shared" si="104"/>
        <v>Remote Work</v>
      </c>
      <c r="Z575" t="s">
        <v>41</v>
      </c>
      <c r="AA575">
        <v>25</v>
      </c>
      <c r="AB575" t="s">
        <v>187</v>
      </c>
      <c r="AC575" t="str">
        <f t="shared" si="105"/>
        <v>Greece</v>
      </c>
      <c r="AD575" t="str">
        <f t="shared" si="106"/>
        <v>Others</v>
      </c>
      <c r="AE575" t="s">
        <v>241</v>
      </c>
      <c r="AF575" t="s">
        <v>1662</v>
      </c>
      <c r="AG575" t="str">
        <f t="shared" si="96"/>
        <v>Greek</v>
      </c>
      <c r="AH575" t="str">
        <f t="shared" si="107"/>
        <v>Others</v>
      </c>
    </row>
    <row r="576" spans="1:34" x14ac:dyDescent="0.25">
      <c r="A576" t="s">
        <v>1663</v>
      </c>
      <c r="B576" t="s">
        <v>1645</v>
      </c>
      <c r="C576" t="s">
        <v>742</v>
      </c>
      <c r="D576" t="s">
        <v>1134</v>
      </c>
      <c r="E576" t="s">
        <v>81</v>
      </c>
      <c r="F576" t="str">
        <f t="shared" si="97"/>
        <v>Data Scientist</v>
      </c>
      <c r="G576" t="str">
        <f t="shared" si="98"/>
        <v>Data Scientist</v>
      </c>
      <c r="H576" t="s">
        <v>35</v>
      </c>
      <c r="I576" t="s">
        <v>86</v>
      </c>
      <c r="J576" t="s">
        <v>107</v>
      </c>
      <c r="K576" t="str">
        <f t="shared" si="99"/>
        <v>Tech</v>
      </c>
      <c r="L576" t="str">
        <f t="shared" si="100"/>
        <v>Tech</v>
      </c>
      <c r="M576" t="s">
        <v>38</v>
      </c>
      <c r="N576" t="str">
        <f t="shared" si="101"/>
        <v>Python</v>
      </c>
      <c r="O576" t="str">
        <f t="shared" si="102"/>
        <v>Python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tr">
        <f t="shared" si="103"/>
        <v>Collaboration</v>
      </c>
      <c r="Y576" t="str">
        <f t="shared" si="104"/>
        <v>Others</v>
      </c>
      <c r="Z576" t="s">
        <v>41</v>
      </c>
      <c r="AA576">
        <v>34</v>
      </c>
      <c r="AB576" t="s">
        <v>42</v>
      </c>
      <c r="AC576" t="str">
        <f t="shared" si="105"/>
        <v>United States</v>
      </c>
      <c r="AD576" t="str">
        <f t="shared" si="106"/>
        <v>United States</v>
      </c>
      <c r="AE576" t="s">
        <v>241</v>
      </c>
      <c r="AF576" t="s">
        <v>62</v>
      </c>
      <c r="AG576" t="str">
        <f t="shared" si="96"/>
        <v>Black or African American</v>
      </c>
      <c r="AH576" t="str">
        <f t="shared" si="107"/>
        <v>Black or African American</v>
      </c>
    </row>
    <row r="577" spans="1:34" x14ac:dyDescent="0.25">
      <c r="A577" t="s">
        <v>1665</v>
      </c>
      <c r="B577" t="s">
        <v>1645</v>
      </c>
      <c r="C577" t="s">
        <v>1285</v>
      </c>
      <c r="D577" t="s">
        <v>1666</v>
      </c>
      <c r="E577" t="s">
        <v>1667</v>
      </c>
      <c r="F577" t="str">
        <f t="shared" si="97"/>
        <v>Power Bi Developer</v>
      </c>
      <c r="G577" t="str">
        <f t="shared" si="98"/>
        <v>Others</v>
      </c>
      <c r="H577" t="s">
        <v>35</v>
      </c>
      <c r="I577" t="s">
        <v>48</v>
      </c>
      <c r="J577" t="s">
        <v>49</v>
      </c>
      <c r="K577" t="str">
        <f t="shared" si="99"/>
        <v>Finance</v>
      </c>
      <c r="L577" t="str">
        <f t="shared" si="100"/>
        <v>Finance</v>
      </c>
      <c r="M577" t="s">
        <v>537</v>
      </c>
      <c r="N577" t="str">
        <f t="shared" si="101"/>
        <v>DAX</v>
      </c>
      <c r="O577" t="str">
        <f t="shared" si="102"/>
        <v>DAX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tr">
        <f t="shared" si="103"/>
        <v>Good Work/Life Balance</v>
      </c>
      <c r="Y577" t="str">
        <f t="shared" si="104"/>
        <v>Good Work/Life Balance</v>
      </c>
      <c r="Z577" t="s">
        <v>69</v>
      </c>
      <c r="AA577">
        <v>32</v>
      </c>
      <c r="AB577" t="s">
        <v>504</v>
      </c>
      <c r="AC577" t="str">
        <f t="shared" si="105"/>
        <v>Poland</v>
      </c>
      <c r="AD577" t="str">
        <f t="shared" si="106"/>
        <v>Poland</v>
      </c>
      <c r="AE577" t="s">
        <v>241</v>
      </c>
      <c r="AF577" t="s">
        <v>95</v>
      </c>
      <c r="AG577" t="str">
        <f t="shared" si="96"/>
        <v>Hispanic or Latino</v>
      </c>
      <c r="AH577" t="str">
        <f t="shared" si="107"/>
        <v>Hispanic or Latino</v>
      </c>
    </row>
    <row r="578" spans="1:34" x14ac:dyDescent="0.25">
      <c r="A578" t="s">
        <v>1668</v>
      </c>
      <c r="B578" t="s">
        <v>1645</v>
      </c>
      <c r="C578" t="s">
        <v>828</v>
      </c>
      <c r="D578" t="s">
        <v>80</v>
      </c>
      <c r="E578" t="s">
        <v>127</v>
      </c>
      <c r="F578" t="str">
        <f t="shared" si="97"/>
        <v>Student/Looking/None</v>
      </c>
      <c r="G578" t="str">
        <f t="shared" si="98"/>
        <v>Student/Looking/None</v>
      </c>
      <c r="H578" t="s">
        <v>47</v>
      </c>
      <c r="I578" t="s">
        <v>57</v>
      </c>
      <c r="J578" t="s">
        <v>117</v>
      </c>
      <c r="K578" t="str">
        <f t="shared" si="99"/>
        <v>Construction</v>
      </c>
      <c r="L578" t="str">
        <f t="shared" si="100"/>
        <v>Construction</v>
      </c>
      <c r="M578" t="s">
        <v>50</v>
      </c>
      <c r="N578" t="str">
        <f t="shared" si="101"/>
        <v>R</v>
      </c>
      <c r="O578" t="str">
        <f t="shared" si="102"/>
        <v>R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tr">
        <f t="shared" si="103"/>
        <v>Better Salary</v>
      </c>
      <c r="Y578" t="str">
        <f t="shared" si="104"/>
        <v>Better Salary</v>
      </c>
      <c r="Z578" t="s">
        <v>41</v>
      </c>
      <c r="AA578">
        <v>24</v>
      </c>
      <c r="AB578" t="s">
        <v>42</v>
      </c>
      <c r="AC578" t="str">
        <f t="shared" si="105"/>
        <v>United States</v>
      </c>
      <c r="AD578" t="str">
        <f t="shared" si="106"/>
        <v>United States</v>
      </c>
      <c r="AE578" t="s">
        <v>266</v>
      </c>
      <c r="AF578" t="s">
        <v>62</v>
      </c>
      <c r="AG578" t="str">
        <f t="shared" ref="AG578:AG631" si="108">IF(ISNUMBER(SEARCH("other",AF578)),IF(TRIM(MID(AF578, FIND(")",AF578)+1, LEN(AF578)))="", "Other", TRIM(MID(AF578, FIND(":",AF578)+1, LEN(AF578)))),AF578)</f>
        <v>Black or African American</v>
      </c>
      <c r="AH578" t="str">
        <f t="shared" si="107"/>
        <v>Black or African American</v>
      </c>
    </row>
    <row r="579" spans="1:34" x14ac:dyDescent="0.25">
      <c r="A579" t="s">
        <v>1669</v>
      </c>
      <c r="B579" t="s">
        <v>1645</v>
      </c>
      <c r="C579" t="s">
        <v>857</v>
      </c>
      <c r="D579" t="s">
        <v>1670</v>
      </c>
      <c r="E579" t="s">
        <v>56</v>
      </c>
      <c r="F579" t="str">
        <f t="shared" ref="F579:F631" si="109">IF(ISNUMBER(SEARCH("other",E579)),IF(TRIM(MID(E579, FIND(")",E579)+1, LEN(E579)))="", "Other", TRIM(MID(E579, FIND(":",E579)+1, LEN(E579)))),E579)</f>
        <v>Data Engineer</v>
      </c>
      <c r="G579" t="str">
        <f t="shared" ref="G579:G631" si="110">IF(COUNTIF(F:F,F579)&lt;5,"Others",F579)</f>
        <v>Data Engineer</v>
      </c>
      <c r="H579" t="s">
        <v>35</v>
      </c>
      <c r="I579" t="s">
        <v>57</v>
      </c>
      <c r="J579" t="s">
        <v>107</v>
      </c>
      <c r="K579" t="str">
        <f t="shared" ref="K579:K631" si="111">IF(ISNUMBER(SEARCH("other",J579)),IF(TRIM(MID(J579, FIND(")",J579)+1, LEN(J579)))="", "Other", TRIM(MID(J579, FIND(":",J579)+1, LEN(J579)))),J579)</f>
        <v>Tech</v>
      </c>
      <c r="L579" t="str">
        <f t="shared" ref="L579:L631" si="112">IF(COUNTIF(K:K,K579)&lt;10,"Others",K579)</f>
        <v>Tech</v>
      </c>
      <c r="M579" t="s">
        <v>38</v>
      </c>
      <c r="N579" t="str">
        <f t="shared" ref="N579:N631" si="113">IF(ISNUMBER(SEARCH("other",M579)),IF(TRIM(MID(M579, FIND("Other",M579)+1, LEN(M579)))="", "Other", TRIM(MID(M579, FIND(":",M579)+1, LEN(M579)))),M579)</f>
        <v>Python</v>
      </c>
      <c r="O579" t="str">
        <f t="shared" ref="O579:O631" si="114">IF(COUNTIF(N:N,N579)&lt;5,"Others",N579)</f>
        <v>Python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tr">
        <f t="shared" ref="X579:X631" si="115">IF(ISNUMBER(SEARCH("other",W579)),IF(TRIM(MID(W579, FIND(")",W579)+1, LEN(W579)))="", "Other", TRIM(MID(W579, FIND(":",W579)+1, LEN(W579)))),W579)</f>
        <v>Better Salary</v>
      </c>
      <c r="Y579" t="str">
        <f t="shared" ref="Y579:Y631" si="116">IF(COUNTIF(X:X,X579)&lt;5,"Others",X579)</f>
        <v>Better Salary</v>
      </c>
      <c r="Z579" t="s">
        <v>41</v>
      </c>
      <c r="AA579">
        <v>26</v>
      </c>
      <c r="AB579" t="s">
        <v>1671</v>
      </c>
      <c r="AC579" t="str">
        <f t="shared" ref="AC579:AC631" si="117">IF(ISNUMBER(SEARCH("other",AB579)),IF(TRIM(MID(AB579, FIND(")",AB579)+1, LEN(AB579)))="", "Other", TRIM(MID(AB579, FIND(":",AB579)+1, LEN(AB579)))),AB579)</f>
        <v>Argentine</v>
      </c>
      <c r="AD579" t="str">
        <f t="shared" ref="AD579:AD631" si="118">IF(COUNTIF(AC:AC,AC579)&lt;5,"Others",AC579)</f>
        <v>Others</v>
      </c>
      <c r="AE579" t="s">
        <v>241</v>
      </c>
      <c r="AF579" t="s">
        <v>95</v>
      </c>
      <c r="AG579" t="str">
        <f t="shared" si="108"/>
        <v>Hispanic or Latino</v>
      </c>
      <c r="AH579" t="str">
        <f t="shared" ref="AH579:AH631" si="119">IF(COUNTIF(AG:AG,AG579)&lt;5,"Others",AG579)</f>
        <v>Hispanic or Latino</v>
      </c>
    </row>
    <row r="580" spans="1:34" x14ac:dyDescent="0.25">
      <c r="A580" t="s">
        <v>1672</v>
      </c>
      <c r="B580" t="s">
        <v>1645</v>
      </c>
      <c r="C580" t="s">
        <v>1673</v>
      </c>
      <c r="D580" t="s">
        <v>429</v>
      </c>
      <c r="E580" t="s">
        <v>34</v>
      </c>
      <c r="F580" t="str">
        <f t="shared" si="109"/>
        <v>Data Analyst</v>
      </c>
      <c r="G580" t="str">
        <f t="shared" si="110"/>
        <v>Data Analyst</v>
      </c>
      <c r="H580" t="s">
        <v>35</v>
      </c>
      <c r="I580" t="s">
        <v>48</v>
      </c>
      <c r="J580" t="s">
        <v>94</v>
      </c>
      <c r="K580" t="str">
        <f t="shared" si="111"/>
        <v>Telecommunication</v>
      </c>
      <c r="L580" t="str">
        <f t="shared" si="112"/>
        <v>Telecommunication</v>
      </c>
      <c r="M580" t="s">
        <v>322</v>
      </c>
      <c r="N580" t="str">
        <f t="shared" si="113"/>
        <v>Sql</v>
      </c>
      <c r="O580" t="str">
        <f t="shared" si="114"/>
        <v>Sql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tr">
        <f t="shared" si="115"/>
        <v>Better Salary</v>
      </c>
      <c r="Y580" t="str">
        <f t="shared" si="116"/>
        <v>Better Salary</v>
      </c>
      <c r="Z580" t="s">
        <v>69</v>
      </c>
      <c r="AA580">
        <v>32</v>
      </c>
      <c r="AB580" t="s">
        <v>1674</v>
      </c>
      <c r="AC580" t="str">
        <f t="shared" si="117"/>
        <v>Sweden</v>
      </c>
      <c r="AD580" t="str">
        <f t="shared" si="118"/>
        <v>Others</v>
      </c>
      <c r="AE580" t="s">
        <v>244</v>
      </c>
      <c r="AF580" t="s">
        <v>62</v>
      </c>
      <c r="AG580" t="str">
        <f t="shared" si="108"/>
        <v>Black or African American</v>
      </c>
      <c r="AH580" t="str">
        <f t="shared" si="119"/>
        <v>Black or African American</v>
      </c>
    </row>
    <row r="581" spans="1:34" x14ac:dyDescent="0.25">
      <c r="A581" t="s">
        <v>1675</v>
      </c>
      <c r="B581" t="s">
        <v>1645</v>
      </c>
      <c r="C581" t="s">
        <v>1676</v>
      </c>
      <c r="D581" t="s">
        <v>474</v>
      </c>
      <c r="E581" t="s">
        <v>81</v>
      </c>
      <c r="F581" t="str">
        <f t="shared" si="109"/>
        <v>Data Scientist</v>
      </c>
      <c r="G581" t="str">
        <f t="shared" si="110"/>
        <v>Data Scientist</v>
      </c>
      <c r="H581" t="s">
        <v>47</v>
      </c>
      <c r="I581" t="s">
        <v>48</v>
      </c>
      <c r="J581" t="s">
        <v>107</v>
      </c>
      <c r="K581" t="str">
        <f t="shared" si="111"/>
        <v>Tech</v>
      </c>
      <c r="L581" t="str">
        <f t="shared" si="112"/>
        <v>Tech</v>
      </c>
      <c r="M581" t="s">
        <v>50</v>
      </c>
      <c r="N581" t="str">
        <f t="shared" si="113"/>
        <v>R</v>
      </c>
      <c r="O581" t="str">
        <f t="shared" si="114"/>
        <v>R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tr">
        <f t="shared" si="115"/>
        <v>Good Work/Life Balance</v>
      </c>
      <c r="Y581" t="str">
        <f t="shared" si="116"/>
        <v>Good Work/Life Balance</v>
      </c>
      <c r="Z581" t="s">
        <v>41</v>
      </c>
      <c r="AA581">
        <v>40</v>
      </c>
      <c r="AB581" t="s">
        <v>427</v>
      </c>
      <c r="AC581" t="str">
        <f t="shared" si="117"/>
        <v>Portugal</v>
      </c>
      <c r="AD581" t="str">
        <f t="shared" si="118"/>
        <v>Portugal</v>
      </c>
      <c r="AE581" t="s">
        <v>244</v>
      </c>
      <c r="AF581" t="s">
        <v>43</v>
      </c>
      <c r="AG581" t="str">
        <f t="shared" si="108"/>
        <v>White or Caucasian</v>
      </c>
      <c r="AH581" t="str">
        <f t="shared" si="119"/>
        <v>White or Caucasian</v>
      </c>
    </row>
    <row r="582" spans="1:34" x14ac:dyDescent="0.25">
      <c r="A582" t="s">
        <v>1677</v>
      </c>
      <c r="B582" t="s">
        <v>1645</v>
      </c>
      <c r="C582" t="s">
        <v>1678</v>
      </c>
      <c r="D582" t="s">
        <v>885</v>
      </c>
      <c r="E582" t="s">
        <v>34</v>
      </c>
      <c r="F582" t="str">
        <f t="shared" si="109"/>
        <v>Data Analyst</v>
      </c>
      <c r="G582" t="str">
        <f t="shared" si="110"/>
        <v>Data Analyst</v>
      </c>
      <c r="H582" t="s">
        <v>47</v>
      </c>
      <c r="I582" t="s">
        <v>57</v>
      </c>
      <c r="J582" t="s">
        <v>1679</v>
      </c>
      <c r="K582" t="str">
        <f t="shared" si="111"/>
        <v>Direct Marketing</v>
      </c>
      <c r="L582" t="str">
        <f t="shared" si="112"/>
        <v>Others</v>
      </c>
      <c r="M582" t="s">
        <v>38</v>
      </c>
      <c r="N582" t="str">
        <f t="shared" si="113"/>
        <v>Python</v>
      </c>
      <c r="O582" t="str">
        <f t="shared" si="114"/>
        <v>Python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tr">
        <f t="shared" si="115"/>
        <v>Better Salary</v>
      </c>
      <c r="Y582" t="str">
        <f t="shared" si="116"/>
        <v>Better Salary</v>
      </c>
      <c r="Z582" t="s">
        <v>41</v>
      </c>
      <c r="AA582">
        <v>27</v>
      </c>
      <c r="AB582" t="s">
        <v>42</v>
      </c>
      <c r="AC582" t="str">
        <f t="shared" si="117"/>
        <v>United States</v>
      </c>
      <c r="AD582" t="str">
        <f t="shared" si="118"/>
        <v>United States</v>
      </c>
      <c r="AE582" t="s">
        <v>241</v>
      </c>
      <c r="AF582" t="s">
        <v>62</v>
      </c>
      <c r="AG582" t="str">
        <f t="shared" si="108"/>
        <v>Black or African American</v>
      </c>
      <c r="AH582" t="str">
        <f t="shared" si="119"/>
        <v>Black or African American</v>
      </c>
    </row>
    <row r="583" spans="1:34" x14ac:dyDescent="0.25">
      <c r="A583" t="s">
        <v>1680</v>
      </c>
      <c r="B583" t="s">
        <v>1645</v>
      </c>
      <c r="C583" t="s">
        <v>905</v>
      </c>
      <c r="D583" t="s">
        <v>287</v>
      </c>
      <c r="E583" t="s">
        <v>34</v>
      </c>
      <c r="F583" t="str">
        <f t="shared" si="109"/>
        <v>Data Analyst</v>
      </c>
      <c r="G583" t="str">
        <f t="shared" si="110"/>
        <v>Data Analyst</v>
      </c>
      <c r="H583" t="s">
        <v>35</v>
      </c>
      <c r="I583" t="s">
        <v>98</v>
      </c>
      <c r="J583" t="s">
        <v>107</v>
      </c>
      <c r="K583" t="str">
        <f t="shared" si="111"/>
        <v>Tech</v>
      </c>
      <c r="L583" t="str">
        <f t="shared" si="112"/>
        <v>Tech</v>
      </c>
      <c r="M583" t="s">
        <v>50</v>
      </c>
      <c r="N583" t="str">
        <f t="shared" si="113"/>
        <v>R</v>
      </c>
      <c r="O583" t="str">
        <f t="shared" si="114"/>
        <v>R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tr">
        <f t="shared" si="115"/>
        <v>Better Salary</v>
      </c>
      <c r="Y583" t="str">
        <f t="shared" si="116"/>
        <v>Better Salary</v>
      </c>
      <c r="Z583" t="s">
        <v>41</v>
      </c>
      <c r="AA583">
        <v>28</v>
      </c>
      <c r="AB583" t="s">
        <v>42</v>
      </c>
      <c r="AC583" t="str">
        <f t="shared" si="117"/>
        <v>United States</v>
      </c>
      <c r="AD583" t="str">
        <f t="shared" si="118"/>
        <v>United States</v>
      </c>
      <c r="AE583" t="s">
        <v>244</v>
      </c>
      <c r="AF583" t="s">
        <v>62</v>
      </c>
      <c r="AG583" t="str">
        <f t="shared" si="108"/>
        <v>Black or African American</v>
      </c>
      <c r="AH583" t="str">
        <f t="shared" si="119"/>
        <v>Black or African American</v>
      </c>
    </row>
    <row r="584" spans="1:34" x14ac:dyDescent="0.25">
      <c r="A584" t="s">
        <v>1681</v>
      </c>
      <c r="B584" t="s">
        <v>1645</v>
      </c>
      <c r="C584" t="s">
        <v>1682</v>
      </c>
      <c r="D584" t="s">
        <v>1683</v>
      </c>
      <c r="E584" t="s">
        <v>34</v>
      </c>
      <c r="F584" t="str">
        <f t="shared" si="109"/>
        <v>Data Analyst</v>
      </c>
      <c r="G584" t="str">
        <f t="shared" si="110"/>
        <v>Data Analyst</v>
      </c>
      <c r="H584" t="s">
        <v>35</v>
      </c>
      <c r="I584" t="s">
        <v>57</v>
      </c>
      <c r="J584" t="s">
        <v>1684</v>
      </c>
      <c r="K584" t="str">
        <f t="shared" si="111"/>
        <v>FMCG</v>
      </c>
      <c r="L584" t="str">
        <f t="shared" si="112"/>
        <v>Others</v>
      </c>
      <c r="M584" t="s">
        <v>38</v>
      </c>
      <c r="N584" t="str">
        <f t="shared" si="113"/>
        <v>Python</v>
      </c>
      <c r="O584" t="str">
        <f t="shared" si="114"/>
        <v>Python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tr">
        <f t="shared" si="115"/>
        <v>Better Salary</v>
      </c>
      <c r="Y584" t="str">
        <f t="shared" si="116"/>
        <v>Better Salary</v>
      </c>
      <c r="Z584" t="s">
        <v>41</v>
      </c>
      <c r="AA584">
        <v>30</v>
      </c>
      <c r="AB584" t="s">
        <v>61</v>
      </c>
      <c r="AC584" t="str">
        <f t="shared" si="117"/>
        <v>Nigeria</v>
      </c>
      <c r="AD584" t="str">
        <f t="shared" si="118"/>
        <v>Nigeria</v>
      </c>
      <c r="AE584" t="s">
        <v>241</v>
      </c>
      <c r="AF584" t="s">
        <v>61</v>
      </c>
      <c r="AG584" t="str">
        <f t="shared" si="108"/>
        <v>Nigeria</v>
      </c>
      <c r="AH584" t="str">
        <f t="shared" si="119"/>
        <v>Others</v>
      </c>
    </row>
    <row r="585" spans="1:34" x14ac:dyDescent="0.25">
      <c r="A585" t="s">
        <v>1685</v>
      </c>
      <c r="B585" t="s">
        <v>1645</v>
      </c>
      <c r="C585" t="s">
        <v>1686</v>
      </c>
      <c r="D585" t="s">
        <v>396</v>
      </c>
      <c r="E585" t="s">
        <v>34</v>
      </c>
      <c r="F585" t="str">
        <f t="shared" si="109"/>
        <v>Data Analyst</v>
      </c>
      <c r="G585" t="str">
        <f t="shared" si="110"/>
        <v>Data Analyst</v>
      </c>
      <c r="H585" t="s">
        <v>35</v>
      </c>
      <c r="I585" t="s">
        <v>57</v>
      </c>
      <c r="J585" t="s">
        <v>1687</v>
      </c>
      <c r="K585" t="str">
        <f t="shared" si="111"/>
        <v>Taking bootcamp</v>
      </c>
      <c r="L585" t="str">
        <f t="shared" si="112"/>
        <v>Others</v>
      </c>
      <c r="M585" t="s">
        <v>38</v>
      </c>
      <c r="N585" t="str">
        <f t="shared" si="113"/>
        <v>Python</v>
      </c>
      <c r="O585" t="str">
        <f t="shared" si="114"/>
        <v>Python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tr">
        <f t="shared" si="115"/>
        <v>Remote Work</v>
      </c>
      <c r="Y585" t="str">
        <f t="shared" si="116"/>
        <v>Remote Work</v>
      </c>
      <c r="Z585" t="s">
        <v>41</v>
      </c>
      <c r="AA585">
        <v>37</v>
      </c>
      <c r="AB585" t="s">
        <v>42</v>
      </c>
      <c r="AC585" t="str">
        <f t="shared" si="117"/>
        <v>United States</v>
      </c>
      <c r="AD585" t="str">
        <f t="shared" si="118"/>
        <v>United States</v>
      </c>
      <c r="AE585" t="s">
        <v>241</v>
      </c>
      <c r="AF585" t="s">
        <v>43</v>
      </c>
      <c r="AG585" t="str">
        <f t="shared" si="108"/>
        <v>White or Caucasian</v>
      </c>
      <c r="AH585" t="str">
        <f t="shared" si="119"/>
        <v>White or Caucasian</v>
      </c>
    </row>
    <row r="586" spans="1:34" x14ac:dyDescent="0.25">
      <c r="A586" t="s">
        <v>1688</v>
      </c>
      <c r="B586" t="s">
        <v>1645</v>
      </c>
      <c r="C586" t="s">
        <v>1689</v>
      </c>
      <c r="D586" t="s">
        <v>1690</v>
      </c>
      <c r="E586" t="s">
        <v>1691</v>
      </c>
      <c r="F586" t="str">
        <f t="shared" si="109"/>
        <v>Software support</v>
      </c>
      <c r="G586" t="str">
        <f t="shared" si="110"/>
        <v>Others</v>
      </c>
      <c r="H586" t="s">
        <v>47</v>
      </c>
      <c r="I586" t="s">
        <v>48</v>
      </c>
      <c r="J586" t="s">
        <v>107</v>
      </c>
      <c r="K586" t="str">
        <f t="shared" si="111"/>
        <v>Tech</v>
      </c>
      <c r="L586" t="str">
        <f t="shared" si="112"/>
        <v>Tech</v>
      </c>
      <c r="M586" t="s">
        <v>208</v>
      </c>
      <c r="N586" t="str">
        <f t="shared" si="113"/>
        <v>JavaScript</v>
      </c>
      <c r="O586" t="str">
        <f t="shared" si="114"/>
        <v>JavaScript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tr">
        <f t="shared" si="115"/>
        <v>Good Culture</v>
      </c>
      <c r="Y586" t="str">
        <f t="shared" si="116"/>
        <v>Good Culture</v>
      </c>
      <c r="Z586" t="s">
        <v>41</v>
      </c>
      <c r="AA586">
        <v>32</v>
      </c>
      <c r="AB586" t="s">
        <v>203</v>
      </c>
      <c r="AC586" t="str">
        <f t="shared" si="117"/>
        <v>Australia</v>
      </c>
      <c r="AD586" t="str">
        <f t="shared" si="118"/>
        <v>Australia</v>
      </c>
      <c r="AE586" t="s">
        <v>241</v>
      </c>
      <c r="AF586" t="s">
        <v>52</v>
      </c>
      <c r="AG586" t="str">
        <f t="shared" si="108"/>
        <v>Asian or Asian American</v>
      </c>
      <c r="AH586" t="str">
        <f t="shared" si="119"/>
        <v>Asian or Asian American</v>
      </c>
    </row>
    <row r="587" spans="1:34" x14ac:dyDescent="0.25">
      <c r="A587" t="s">
        <v>1692</v>
      </c>
      <c r="B587" t="s">
        <v>1645</v>
      </c>
      <c r="C587" t="s">
        <v>1693</v>
      </c>
      <c r="D587" t="s">
        <v>1108</v>
      </c>
      <c r="E587" t="s">
        <v>34</v>
      </c>
      <c r="F587" t="str">
        <f t="shared" si="109"/>
        <v>Data Analyst</v>
      </c>
      <c r="G587" t="str">
        <f t="shared" si="110"/>
        <v>Data Analyst</v>
      </c>
      <c r="H587" t="s">
        <v>35</v>
      </c>
      <c r="I587" t="s">
        <v>48</v>
      </c>
      <c r="J587" t="s">
        <v>107</v>
      </c>
      <c r="K587" t="str">
        <f t="shared" si="111"/>
        <v>Tech</v>
      </c>
      <c r="L587" t="str">
        <f t="shared" si="112"/>
        <v>Tech</v>
      </c>
      <c r="M587" t="s">
        <v>38</v>
      </c>
      <c r="N587" t="str">
        <f t="shared" si="113"/>
        <v>Python</v>
      </c>
      <c r="O587" t="str">
        <f t="shared" si="114"/>
        <v>Python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tr">
        <f t="shared" si="115"/>
        <v>Better Salary</v>
      </c>
      <c r="Y587" t="str">
        <f t="shared" si="116"/>
        <v>Better Salary</v>
      </c>
      <c r="Z587" t="s">
        <v>41</v>
      </c>
      <c r="AA587">
        <v>24</v>
      </c>
      <c r="AB587" t="s">
        <v>1694</v>
      </c>
      <c r="AC587" t="str">
        <f t="shared" si="117"/>
        <v>Saudi Arabia</v>
      </c>
      <c r="AD587" t="str">
        <f t="shared" si="118"/>
        <v>Others</v>
      </c>
      <c r="AE587" t="s">
        <v>241</v>
      </c>
      <c r="AF587" t="s">
        <v>1695</v>
      </c>
      <c r="AG587" t="str">
        <f t="shared" si="108"/>
        <v>Arab</v>
      </c>
      <c r="AH587" t="str">
        <f t="shared" si="119"/>
        <v>Others</v>
      </c>
    </row>
    <row r="588" spans="1:34" x14ac:dyDescent="0.25">
      <c r="A588" t="s">
        <v>1696</v>
      </c>
      <c r="B588" t="s">
        <v>1645</v>
      </c>
      <c r="C588" t="s">
        <v>1059</v>
      </c>
      <c r="D588" t="s">
        <v>552</v>
      </c>
      <c r="E588" t="s">
        <v>34</v>
      </c>
      <c r="F588" t="str">
        <f t="shared" si="109"/>
        <v>Data Analyst</v>
      </c>
      <c r="G588" t="str">
        <f t="shared" si="110"/>
        <v>Data Analyst</v>
      </c>
      <c r="H588" t="s">
        <v>35</v>
      </c>
      <c r="I588" t="s">
        <v>57</v>
      </c>
      <c r="J588" t="s">
        <v>107</v>
      </c>
      <c r="K588" t="str">
        <f t="shared" si="111"/>
        <v>Tech</v>
      </c>
      <c r="L588" t="str">
        <f t="shared" si="112"/>
        <v>Tech</v>
      </c>
      <c r="M588" t="s">
        <v>38</v>
      </c>
      <c r="N588" t="str">
        <f t="shared" si="113"/>
        <v>Python</v>
      </c>
      <c r="O588" t="str">
        <f t="shared" si="114"/>
        <v>Python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tr">
        <f t="shared" si="115"/>
        <v>Better Salary</v>
      </c>
      <c r="Y588" t="str">
        <f t="shared" si="116"/>
        <v>Better Salary</v>
      </c>
      <c r="Z588" t="s">
        <v>41</v>
      </c>
      <c r="AA588">
        <v>39</v>
      </c>
      <c r="AB588" t="s">
        <v>108</v>
      </c>
      <c r="AC588" t="str">
        <f t="shared" si="117"/>
        <v>Argentina</v>
      </c>
      <c r="AD588" t="str">
        <f t="shared" si="118"/>
        <v>Argentina</v>
      </c>
      <c r="AE588" t="s">
        <v>266</v>
      </c>
      <c r="AF588" t="s">
        <v>43</v>
      </c>
      <c r="AG588" t="str">
        <f t="shared" si="108"/>
        <v>White or Caucasian</v>
      </c>
      <c r="AH588" t="str">
        <f t="shared" si="119"/>
        <v>White or Caucasian</v>
      </c>
    </row>
    <row r="589" spans="1:34" x14ac:dyDescent="0.25">
      <c r="A589" t="s">
        <v>1697</v>
      </c>
      <c r="B589" t="s">
        <v>1645</v>
      </c>
      <c r="C589" t="s">
        <v>1059</v>
      </c>
      <c r="D589" t="s">
        <v>1698</v>
      </c>
      <c r="E589" t="s">
        <v>34</v>
      </c>
      <c r="F589" t="str">
        <f t="shared" si="109"/>
        <v>Data Analyst</v>
      </c>
      <c r="G589" t="str">
        <f t="shared" si="110"/>
        <v>Data Analyst</v>
      </c>
      <c r="H589" t="s">
        <v>35</v>
      </c>
      <c r="I589" t="s">
        <v>86</v>
      </c>
      <c r="J589" t="s">
        <v>49</v>
      </c>
      <c r="K589" t="str">
        <f t="shared" si="111"/>
        <v>Finance</v>
      </c>
      <c r="L589" t="str">
        <f t="shared" si="112"/>
        <v>Finance</v>
      </c>
      <c r="M589" t="s">
        <v>38</v>
      </c>
      <c r="N589" t="str">
        <f t="shared" si="113"/>
        <v>Python</v>
      </c>
      <c r="O589" t="str">
        <f t="shared" si="114"/>
        <v>Python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tr">
        <f t="shared" si="115"/>
        <v>Better Tech Stack</v>
      </c>
      <c r="Y589" t="str">
        <f t="shared" si="116"/>
        <v>Others</v>
      </c>
      <c r="Z589" t="s">
        <v>41</v>
      </c>
      <c r="AA589">
        <v>34</v>
      </c>
      <c r="AB589" t="s">
        <v>203</v>
      </c>
      <c r="AC589" t="str">
        <f t="shared" si="117"/>
        <v>Australia</v>
      </c>
      <c r="AD589" t="str">
        <f t="shared" si="118"/>
        <v>Australia</v>
      </c>
      <c r="AE589" t="s">
        <v>241</v>
      </c>
      <c r="AF589" t="s">
        <v>52</v>
      </c>
      <c r="AG589" t="str">
        <f t="shared" si="108"/>
        <v>Asian or Asian American</v>
      </c>
      <c r="AH589" t="str">
        <f t="shared" si="119"/>
        <v>Asian or Asian American</v>
      </c>
    </row>
    <row r="590" spans="1:34" x14ac:dyDescent="0.25">
      <c r="A590" t="s">
        <v>1700</v>
      </c>
      <c r="B590" t="s">
        <v>1645</v>
      </c>
      <c r="C590" t="s">
        <v>1364</v>
      </c>
      <c r="D590" t="s">
        <v>169</v>
      </c>
      <c r="E590" t="s">
        <v>34</v>
      </c>
      <c r="F590" t="str">
        <f t="shared" si="109"/>
        <v>Data Analyst</v>
      </c>
      <c r="G590" t="str">
        <f t="shared" si="110"/>
        <v>Data Analyst</v>
      </c>
      <c r="H590" t="s">
        <v>47</v>
      </c>
      <c r="I590" t="s">
        <v>48</v>
      </c>
      <c r="J590" t="s">
        <v>1701</v>
      </c>
      <c r="K590" t="str">
        <f t="shared" si="111"/>
        <v>Space &amp; Defense</v>
      </c>
      <c r="L590" t="str">
        <f t="shared" si="112"/>
        <v>Others</v>
      </c>
      <c r="M590" t="s">
        <v>38</v>
      </c>
      <c r="N590" t="str">
        <f t="shared" si="113"/>
        <v>Python</v>
      </c>
      <c r="O590" t="str">
        <f t="shared" si="114"/>
        <v>Python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tr">
        <f t="shared" si="115"/>
        <v>Remote Work</v>
      </c>
      <c r="Y590" t="str">
        <f t="shared" si="116"/>
        <v>Remote Work</v>
      </c>
      <c r="Z590" t="s">
        <v>41</v>
      </c>
      <c r="AA590">
        <v>27</v>
      </c>
      <c r="AB590" t="s">
        <v>42</v>
      </c>
      <c r="AC590" t="str">
        <f t="shared" si="117"/>
        <v>United States</v>
      </c>
      <c r="AD590" t="str">
        <f t="shared" si="118"/>
        <v>United States</v>
      </c>
      <c r="AE590" t="s">
        <v>241</v>
      </c>
      <c r="AF590" t="s">
        <v>62</v>
      </c>
      <c r="AG590" t="str">
        <f t="shared" si="108"/>
        <v>Black or African American</v>
      </c>
      <c r="AH590" t="str">
        <f t="shared" si="119"/>
        <v>Black or African American</v>
      </c>
    </row>
    <row r="591" spans="1:34" x14ac:dyDescent="0.25">
      <c r="A591" t="s">
        <v>1702</v>
      </c>
      <c r="B591" t="s">
        <v>1645</v>
      </c>
      <c r="C591" t="s">
        <v>1703</v>
      </c>
      <c r="D591" t="s">
        <v>489</v>
      </c>
      <c r="E591" t="s">
        <v>34</v>
      </c>
      <c r="F591" t="str">
        <f t="shared" si="109"/>
        <v>Data Analyst</v>
      </c>
      <c r="G591" t="str">
        <f t="shared" si="110"/>
        <v>Data Analyst</v>
      </c>
      <c r="H591" t="s">
        <v>35</v>
      </c>
      <c r="I591" t="s">
        <v>98</v>
      </c>
      <c r="J591" t="s">
        <v>37</v>
      </c>
      <c r="K591" t="str">
        <f t="shared" si="111"/>
        <v>Healthcare</v>
      </c>
      <c r="L591" t="str">
        <f t="shared" si="112"/>
        <v>Healthcare</v>
      </c>
      <c r="M591" t="s">
        <v>721</v>
      </c>
      <c r="N591" t="str">
        <f t="shared" si="113"/>
        <v>SQL</v>
      </c>
      <c r="O591" t="str">
        <f t="shared" si="114"/>
        <v>SQL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tr">
        <f t="shared" si="115"/>
        <v>Better Salary</v>
      </c>
      <c r="Y591" t="str">
        <f t="shared" si="116"/>
        <v>Better Salary</v>
      </c>
      <c r="Z591" t="s">
        <v>41</v>
      </c>
      <c r="AA591">
        <v>54</v>
      </c>
      <c r="AB591" t="s">
        <v>42</v>
      </c>
      <c r="AC591" t="str">
        <f t="shared" si="117"/>
        <v>United States</v>
      </c>
      <c r="AD591" t="str">
        <f t="shared" si="118"/>
        <v>United States</v>
      </c>
      <c r="AE591" t="s">
        <v>231</v>
      </c>
      <c r="AF591" t="s">
        <v>43</v>
      </c>
      <c r="AG591" t="str">
        <f t="shared" si="108"/>
        <v>White or Caucasian</v>
      </c>
      <c r="AH591" t="str">
        <f t="shared" si="119"/>
        <v>White or Caucasian</v>
      </c>
    </row>
    <row r="592" spans="1:34" x14ac:dyDescent="0.25">
      <c r="A592" t="s">
        <v>1704</v>
      </c>
      <c r="B592" t="s">
        <v>1645</v>
      </c>
      <c r="C592" t="s">
        <v>1705</v>
      </c>
      <c r="D592" t="s">
        <v>1524</v>
      </c>
      <c r="E592" t="s">
        <v>127</v>
      </c>
      <c r="F592" t="str">
        <f t="shared" si="109"/>
        <v>Student/Looking/None</v>
      </c>
      <c r="G592" t="str">
        <f t="shared" si="110"/>
        <v>Student/Looking/None</v>
      </c>
      <c r="H592" t="s">
        <v>47</v>
      </c>
      <c r="I592" t="s">
        <v>57</v>
      </c>
      <c r="J592" t="s">
        <v>107</v>
      </c>
      <c r="K592" t="str">
        <f t="shared" si="111"/>
        <v>Tech</v>
      </c>
      <c r="L592" t="str">
        <f t="shared" si="112"/>
        <v>Tech</v>
      </c>
      <c r="M592" t="s">
        <v>38</v>
      </c>
      <c r="N592" t="str">
        <f t="shared" si="113"/>
        <v>Python</v>
      </c>
      <c r="O592" t="str">
        <f t="shared" si="114"/>
        <v>Python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tr">
        <f t="shared" si="115"/>
        <v>Remote Work</v>
      </c>
      <c r="Y592" t="str">
        <f t="shared" si="116"/>
        <v>Remote Work</v>
      </c>
      <c r="Z592" t="s">
        <v>69</v>
      </c>
      <c r="AA592">
        <v>20</v>
      </c>
      <c r="AB592" t="s">
        <v>151</v>
      </c>
      <c r="AC592" t="str">
        <f t="shared" si="117"/>
        <v>India</v>
      </c>
      <c r="AD592" t="str">
        <f t="shared" si="118"/>
        <v>India</v>
      </c>
      <c r="AE592" t="s">
        <v>241</v>
      </c>
      <c r="AF592" t="s">
        <v>52</v>
      </c>
      <c r="AG592" t="str">
        <f t="shared" si="108"/>
        <v>Asian or Asian American</v>
      </c>
      <c r="AH592" t="str">
        <f t="shared" si="119"/>
        <v>Asian or Asian American</v>
      </c>
    </row>
    <row r="593" spans="1:34" x14ac:dyDescent="0.25">
      <c r="A593" t="s">
        <v>1706</v>
      </c>
      <c r="B593" t="s">
        <v>1707</v>
      </c>
      <c r="C593" t="s">
        <v>1708</v>
      </c>
      <c r="D593" t="s">
        <v>348</v>
      </c>
      <c r="E593" t="s">
        <v>127</v>
      </c>
      <c r="F593" t="str">
        <f t="shared" si="109"/>
        <v>Student/Looking/None</v>
      </c>
      <c r="G593" t="str">
        <f t="shared" si="110"/>
        <v>Student/Looking/None</v>
      </c>
      <c r="H593" t="s">
        <v>35</v>
      </c>
      <c r="I593" t="s">
        <v>57</v>
      </c>
      <c r="J593" t="s">
        <v>49</v>
      </c>
      <c r="K593" t="str">
        <f t="shared" si="111"/>
        <v>Finance</v>
      </c>
      <c r="L593" t="str">
        <f t="shared" si="112"/>
        <v>Finance</v>
      </c>
      <c r="M593" t="s">
        <v>88</v>
      </c>
      <c r="N593" t="str">
        <f t="shared" si="113"/>
        <v>SQL</v>
      </c>
      <c r="O593" t="str">
        <f t="shared" si="114"/>
        <v>SQL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tr">
        <f t="shared" si="115"/>
        <v>Good Work/Life Balance</v>
      </c>
      <c r="Y593" t="str">
        <f t="shared" si="116"/>
        <v>Good Work/Life Balance</v>
      </c>
      <c r="Z593" t="s">
        <v>41</v>
      </c>
      <c r="AA593">
        <v>25</v>
      </c>
      <c r="AB593" t="s">
        <v>151</v>
      </c>
      <c r="AC593" t="str">
        <f t="shared" si="117"/>
        <v>India</v>
      </c>
      <c r="AD593" t="str">
        <f t="shared" si="118"/>
        <v>India</v>
      </c>
      <c r="AE593" t="s">
        <v>244</v>
      </c>
      <c r="AF593" t="s">
        <v>52</v>
      </c>
      <c r="AG593" t="str">
        <f t="shared" si="108"/>
        <v>Asian or Asian American</v>
      </c>
      <c r="AH593" t="str">
        <f t="shared" si="119"/>
        <v>Asian or Asian American</v>
      </c>
    </row>
    <row r="594" spans="1:34" x14ac:dyDescent="0.25">
      <c r="A594" t="s">
        <v>1709</v>
      </c>
      <c r="B594" t="s">
        <v>1707</v>
      </c>
      <c r="C594" t="s">
        <v>1710</v>
      </c>
      <c r="D594" t="s">
        <v>829</v>
      </c>
      <c r="E594" t="s">
        <v>127</v>
      </c>
      <c r="F594" t="str">
        <f t="shared" si="109"/>
        <v>Student/Looking/None</v>
      </c>
      <c r="G594" t="str">
        <f t="shared" si="110"/>
        <v>Student/Looking/None</v>
      </c>
      <c r="H594" t="s">
        <v>47</v>
      </c>
      <c r="I594" t="s">
        <v>57</v>
      </c>
      <c r="J594" t="s">
        <v>107</v>
      </c>
      <c r="K594" t="str">
        <f t="shared" si="111"/>
        <v>Tech</v>
      </c>
      <c r="L594" t="str">
        <f t="shared" si="112"/>
        <v>Tech</v>
      </c>
      <c r="M594" t="s">
        <v>38</v>
      </c>
      <c r="N594" t="str">
        <f t="shared" si="113"/>
        <v>Python</v>
      </c>
      <c r="O594" t="str">
        <f t="shared" si="114"/>
        <v>Python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tr">
        <f t="shared" si="115"/>
        <v>Good Work/Life Balance</v>
      </c>
      <c r="Y594" t="str">
        <f t="shared" si="116"/>
        <v>Good Work/Life Balance</v>
      </c>
      <c r="Z594" t="s">
        <v>41</v>
      </c>
      <c r="AA594">
        <v>33</v>
      </c>
      <c r="AB594" t="s">
        <v>151</v>
      </c>
      <c r="AC594" t="str">
        <f t="shared" si="117"/>
        <v>India</v>
      </c>
      <c r="AD594" t="str">
        <f t="shared" si="118"/>
        <v>India</v>
      </c>
      <c r="AE594" t="s">
        <v>241</v>
      </c>
      <c r="AF594" t="s">
        <v>52</v>
      </c>
      <c r="AG594" t="str">
        <f t="shared" si="108"/>
        <v>Asian or Asian American</v>
      </c>
      <c r="AH594" t="str">
        <f t="shared" si="119"/>
        <v>Asian or Asian American</v>
      </c>
    </row>
    <row r="595" spans="1:34" x14ac:dyDescent="0.25">
      <c r="A595" t="s">
        <v>1711</v>
      </c>
      <c r="B595" t="s">
        <v>1707</v>
      </c>
      <c r="C595" t="s">
        <v>1712</v>
      </c>
      <c r="D595" t="s">
        <v>489</v>
      </c>
      <c r="E595" t="s">
        <v>34</v>
      </c>
      <c r="F595" t="str">
        <f t="shared" si="109"/>
        <v>Data Analyst</v>
      </c>
      <c r="G595" t="str">
        <f t="shared" si="110"/>
        <v>Data Analyst</v>
      </c>
      <c r="H595" t="s">
        <v>35</v>
      </c>
      <c r="I595" t="s">
        <v>48</v>
      </c>
      <c r="J595" t="s">
        <v>107</v>
      </c>
      <c r="K595" t="str">
        <f t="shared" si="111"/>
        <v>Tech</v>
      </c>
      <c r="L595" t="str">
        <f t="shared" si="112"/>
        <v>Tech</v>
      </c>
      <c r="M595" t="s">
        <v>38</v>
      </c>
      <c r="N595" t="str">
        <f t="shared" si="113"/>
        <v>Python</v>
      </c>
      <c r="O595" t="str">
        <f t="shared" si="114"/>
        <v>Python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tr">
        <f t="shared" si="115"/>
        <v>Remote Work</v>
      </c>
      <c r="Y595" t="str">
        <f t="shared" si="116"/>
        <v>Remote Work</v>
      </c>
      <c r="Z595" t="s">
        <v>41</v>
      </c>
      <c r="AA595">
        <v>30</v>
      </c>
      <c r="AB595" t="s">
        <v>113</v>
      </c>
      <c r="AC595" t="str">
        <f t="shared" si="117"/>
        <v>United Kingdom</v>
      </c>
      <c r="AD595" t="str">
        <f t="shared" si="118"/>
        <v>United Kingdom</v>
      </c>
      <c r="AE595" t="s">
        <v>244</v>
      </c>
      <c r="AF595" t="s">
        <v>43</v>
      </c>
      <c r="AG595" t="str">
        <f t="shared" si="108"/>
        <v>White or Caucasian</v>
      </c>
      <c r="AH595" t="str">
        <f t="shared" si="119"/>
        <v>White or Caucasian</v>
      </c>
    </row>
    <row r="596" spans="1:34" x14ac:dyDescent="0.25">
      <c r="A596" t="s">
        <v>1713</v>
      </c>
      <c r="B596" t="s">
        <v>1707</v>
      </c>
      <c r="C596" t="s">
        <v>1714</v>
      </c>
      <c r="D596" t="s">
        <v>1715</v>
      </c>
      <c r="E596" t="s">
        <v>127</v>
      </c>
      <c r="F596" t="str">
        <f t="shared" si="109"/>
        <v>Student/Looking/None</v>
      </c>
      <c r="G596" t="str">
        <f t="shared" si="110"/>
        <v>Student/Looking/None</v>
      </c>
      <c r="H596" t="s">
        <v>35</v>
      </c>
      <c r="I596" t="s">
        <v>57</v>
      </c>
      <c r="J596" t="s">
        <v>107</v>
      </c>
      <c r="K596" t="str">
        <f t="shared" si="111"/>
        <v>Tech</v>
      </c>
      <c r="L596" t="str">
        <f t="shared" si="112"/>
        <v>Tech</v>
      </c>
      <c r="M596" t="s">
        <v>38</v>
      </c>
      <c r="N596" t="str">
        <f t="shared" si="113"/>
        <v>Python</v>
      </c>
      <c r="O596" t="str">
        <f t="shared" si="114"/>
        <v>Python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tr">
        <f t="shared" si="115"/>
        <v>Better Salary</v>
      </c>
      <c r="Y596" t="str">
        <f t="shared" si="116"/>
        <v>Better Salary</v>
      </c>
      <c r="Z596" t="s">
        <v>41</v>
      </c>
      <c r="AA596">
        <v>31</v>
      </c>
      <c r="AB596" t="s">
        <v>124</v>
      </c>
      <c r="AC596" t="str">
        <f t="shared" si="117"/>
        <v>Niger</v>
      </c>
      <c r="AD596" t="str">
        <f t="shared" si="118"/>
        <v>Others</v>
      </c>
      <c r="AE596" t="s">
        <v>231</v>
      </c>
      <c r="AF596" t="s">
        <v>62</v>
      </c>
      <c r="AG596" t="str">
        <f t="shared" si="108"/>
        <v>Black or African American</v>
      </c>
      <c r="AH596" t="str">
        <f t="shared" si="119"/>
        <v>Black or African American</v>
      </c>
    </row>
    <row r="597" spans="1:34" x14ac:dyDescent="0.25">
      <c r="A597" t="s">
        <v>1716</v>
      </c>
      <c r="B597" t="s">
        <v>1707</v>
      </c>
      <c r="C597" t="s">
        <v>1717</v>
      </c>
      <c r="D597" t="s">
        <v>805</v>
      </c>
      <c r="E597" t="s">
        <v>127</v>
      </c>
      <c r="F597" t="str">
        <f t="shared" si="109"/>
        <v>Student/Looking/None</v>
      </c>
      <c r="G597" t="str">
        <f t="shared" si="110"/>
        <v>Student/Looking/None</v>
      </c>
      <c r="H597" t="s">
        <v>35</v>
      </c>
      <c r="I597" t="s">
        <v>57</v>
      </c>
      <c r="J597" t="s">
        <v>1718</v>
      </c>
      <c r="K597" t="str">
        <f t="shared" si="111"/>
        <v>Automobile (cars)</v>
      </c>
      <c r="L597" t="str">
        <f t="shared" si="112"/>
        <v>Others</v>
      </c>
      <c r="M597" t="s">
        <v>38</v>
      </c>
      <c r="N597" t="str">
        <f t="shared" si="113"/>
        <v>Python</v>
      </c>
      <c r="O597" t="str">
        <f t="shared" si="114"/>
        <v>Python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tr">
        <f t="shared" si="115"/>
        <v>Remote Work</v>
      </c>
      <c r="Y597" t="str">
        <f t="shared" si="116"/>
        <v>Remote Work</v>
      </c>
      <c r="Z597" t="s">
        <v>41</v>
      </c>
      <c r="AA597">
        <v>22</v>
      </c>
      <c r="AB597" t="s">
        <v>293</v>
      </c>
      <c r="AC597" t="str">
        <f t="shared" si="117"/>
        <v>France</v>
      </c>
      <c r="AD597" t="str">
        <f t="shared" si="118"/>
        <v>Others</v>
      </c>
      <c r="AE597" t="s">
        <v>244</v>
      </c>
      <c r="AF597" t="s">
        <v>1719</v>
      </c>
      <c r="AG597" t="str">
        <f t="shared" si="108"/>
        <v>Arabian (from Maghreb)</v>
      </c>
      <c r="AH597" t="str">
        <f t="shared" si="119"/>
        <v>Others</v>
      </c>
    </row>
    <row r="598" spans="1:34" x14ac:dyDescent="0.25">
      <c r="A598" t="s">
        <v>1720</v>
      </c>
      <c r="B598" t="s">
        <v>1707</v>
      </c>
      <c r="C598" t="s">
        <v>1721</v>
      </c>
      <c r="D598" t="s">
        <v>97</v>
      </c>
      <c r="E598" t="s">
        <v>34</v>
      </c>
      <c r="F598" t="str">
        <f t="shared" si="109"/>
        <v>Data Analyst</v>
      </c>
      <c r="G598" t="str">
        <f t="shared" si="110"/>
        <v>Data Analyst</v>
      </c>
      <c r="H598" t="s">
        <v>35</v>
      </c>
      <c r="I598" t="s">
        <v>98</v>
      </c>
      <c r="J598" t="s">
        <v>107</v>
      </c>
      <c r="K598" t="str">
        <f t="shared" si="111"/>
        <v>Tech</v>
      </c>
      <c r="L598" t="str">
        <f t="shared" si="112"/>
        <v>Tech</v>
      </c>
      <c r="M598" t="s">
        <v>50</v>
      </c>
      <c r="N598" t="str">
        <f t="shared" si="113"/>
        <v>R</v>
      </c>
      <c r="O598" t="str">
        <f t="shared" si="114"/>
        <v>R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tr">
        <f t="shared" si="115"/>
        <v>Remote Work</v>
      </c>
      <c r="Y598" t="str">
        <f t="shared" si="116"/>
        <v>Remote Work</v>
      </c>
      <c r="Z598" t="s">
        <v>69</v>
      </c>
      <c r="AA598">
        <v>38</v>
      </c>
      <c r="AB598" t="s">
        <v>42</v>
      </c>
      <c r="AC598" t="str">
        <f t="shared" si="117"/>
        <v>United States</v>
      </c>
      <c r="AD598" t="str">
        <f t="shared" si="118"/>
        <v>United States</v>
      </c>
      <c r="AE598" t="s">
        <v>241</v>
      </c>
      <c r="AF598" t="s">
        <v>62</v>
      </c>
      <c r="AG598" t="str">
        <f t="shared" si="108"/>
        <v>Black or African American</v>
      </c>
      <c r="AH598" t="str">
        <f t="shared" si="119"/>
        <v>Black or African American</v>
      </c>
    </row>
    <row r="599" spans="1:34" x14ac:dyDescent="0.25">
      <c r="A599" t="s">
        <v>1722</v>
      </c>
      <c r="B599" t="s">
        <v>1707</v>
      </c>
      <c r="C599" t="s">
        <v>546</v>
      </c>
      <c r="D599" t="s">
        <v>308</v>
      </c>
      <c r="E599" t="s">
        <v>34</v>
      </c>
      <c r="F599" t="str">
        <f t="shared" si="109"/>
        <v>Data Analyst</v>
      </c>
      <c r="G599" t="str">
        <f t="shared" si="110"/>
        <v>Data Analyst</v>
      </c>
      <c r="H599" t="s">
        <v>47</v>
      </c>
      <c r="I599" t="s">
        <v>57</v>
      </c>
      <c r="J599" t="s">
        <v>99</v>
      </c>
      <c r="K599" t="str">
        <f t="shared" si="111"/>
        <v>Logistics</v>
      </c>
      <c r="L599" t="str">
        <f t="shared" si="112"/>
        <v>Others</v>
      </c>
      <c r="M599" t="s">
        <v>38</v>
      </c>
      <c r="N599" t="str">
        <f t="shared" si="113"/>
        <v>Python</v>
      </c>
      <c r="O599" t="str">
        <f t="shared" si="114"/>
        <v>Python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tr">
        <f t="shared" si="115"/>
        <v>Good Work/Life Balance</v>
      </c>
      <c r="Y599" t="str">
        <f t="shared" si="116"/>
        <v>Good Work/Life Balance</v>
      </c>
      <c r="Z599" t="s">
        <v>41</v>
      </c>
      <c r="AA599">
        <v>22</v>
      </c>
      <c r="AB599" t="s">
        <v>748</v>
      </c>
      <c r="AC599" t="str">
        <f t="shared" si="117"/>
        <v>Malaysia</v>
      </c>
      <c r="AD599" t="str">
        <f t="shared" si="118"/>
        <v>Others</v>
      </c>
      <c r="AE599" t="s">
        <v>241</v>
      </c>
      <c r="AF599" t="s">
        <v>1723</v>
      </c>
      <c r="AG599" t="str">
        <f t="shared" si="108"/>
        <v>Malay</v>
      </c>
      <c r="AH599" t="str">
        <f t="shared" si="119"/>
        <v>Others</v>
      </c>
    </row>
    <row r="600" spans="1:34" x14ac:dyDescent="0.25">
      <c r="A600" t="s">
        <v>1724</v>
      </c>
      <c r="B600" t="s">
        <v>1707</v>
      </c>
      <c r="C600" t="s">
        <v>1725</v>
      </c>
      <c r="D600" t="s">
        <v>158</v>
      </c>
      <c r="E600" t="s">
        <v>81</v>
      </c>
      <c r="F600" t="str">
        <f t="shared" si="109"/>
        <v>Data Scientist</v>
      </c>
      <c r="G600" t="str">
        <f t="shared" si="110"/>
        <v>Data Scientist</v>
      </c>
      <c r="H600" t="s">
        <v>35</v>
      </c>
      <c r="I600" t="s">
        <v>57</v>
      </c>
      <c r="J600" t="s">
        <v>716</v>
      </c>
      <c r="K600" t="str">
        <f t="shared" si="111"/>
        <v>Real Estate</v>
      </c>
      <c r="L600" t="str">
        <f t="shared" si="112"/>
        <v>Real Estate</v>
      </c>
      <c r="M600" t="s">
        <v>38</v>
      </c>
      <c r="N600" t="str">
        <f t="shared" si="113"/>
        <v>Python</v>
      </c>
      <c r="O600" t="str">
        <f t="shared" si="114"/>
        <v>Python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tr">
        <f t="shared" si="115"/>
        <v>Better Salary</v>
      </c>
      <c r="Y600" t="str">
        <f t="shared" si="116"/>
        <v>Better Salary</v>
      </c>
      <c r="Z600" t="s">
        <v>41</v>
      </c>
      <c r="AA600">
        <v>33</v>
      </c>
      <c r="AB600" t="s">
        <v>151</v>
      </c>
      <c r="AC600" t="str">
        <f t="shared" si="117"/>
        <v>India</v>
      </c>
      <c r="AD600" t="str">
        <f t="shared" si="118"/>
        <v>India</v>
      </c>
      <c r="AE600" t="s">
        <v>241</v>
      </c>
      <c r="AF600" t="s">
        <v>52</v>
      </c>
      <c r="AG600" t="str">
        <f t="shared" si="108"/>
        <v>Asian or Asian American</v>
      </c>
      <c r="AH600" t="str">
        <f t="shared" si="119"/>
        <v>Asian or Asian American</v>
      </c>
    </row>
    <row r="601" spans="1:34" x14ac:dyDescent="0.25">
      <c r="A601" t="s">
        <v>1726</v>
      </c>
      <c r="B601" t="s">
        <v>1707</v>
      </c>
      <c r="C601" t="s">
        <v>892</v>
      </c>
      <c r="D601" t="s">
        <v>219</v>
      </c>
      <c r="E601" t="s">
        <v>34</v>
      </c>
      <c r="F601" t="str">
        <f t="shared" si="109"/>
        <v>Data Analyst</v>
      </c>
      <c r="G601" t="str">
        <f t="shared" si="110"/>
        <v>Data Analyst</v>
      </c>
      <c r="H601" t="s">
        <v>35</v>
      </c>
      <c r="I601" t="s">
        <v>48</v>
      </c>
      <c r="J601" t="s">
        <v>107</v>
      </c>
      <c r="K601" t="str">
        <f t="shared" si="111"/>
        <v>Tech</v>
      </c>
      <c r="L601" t="str">
        <f t="shared" si="112"/>
        <v>Tech</v>
      </c>
      <c r="M601" t="s">
        <v>38</v>
      </c>
      <c r="N601" t="str">
        <f t="shared" si="113"/>
        <v>Python</v>
      </c>
      <c r="O601" t="str">
        <f t="shared" si="114"/>
        <v>Python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tr">
        <f t="shared" si="115"/>
        <v>Better Salary</v>
      </c>
      <c r="Y601" t="str">
        <f t="shared" si="116"/>
        <v>Better Salary</v>
      </c>
      <c r="Z601" t="s">
        <v>41</v>
      </c>
      <c r="AA601">
        <v>27</v>
      </c>
      <c r="AB601" t="s">
        <v>51</v>
      </c>
      <c r="AC601" t="str">
        <f t="shared" si="117"/>
        <v>Canada</v>
      </c>
      <c r="AD601" t="str">
        <f t="shared" si="118"/>
        <v>Canada</v>
      </c>
      <c r="AE601" t="s">
        <v>241</v>
      </c>
      <c r="AF601" t="s">
        <v>43</v>
      </c>
      <c r="AG601" t="str">
        <f t="shared" si="108"/>
        <v>White or Caucasian</v>
      </c>
      <c r="AH601" t="str">
        <f t="shared" si="119"/>
        <v>White or Caucasian</v>
      </c>
    </row>
    <row r="602" spans="1:34" x14ac:dyDescent="0.25">
      <c r="A602" t="s">
        <v>1727</v>
      </c>
      <c r="B602" t="s">
        <v>1707</v>
      </c>
      <c r="C602" t="s">
        <v>1728</v>
      </c>
      <c r="D602" t="s">
        <v>147</v>
      </c>
      <c r="E602" t="s">
        <v>34</v>
      </c>
      <c r="F602" t="str">
        <f t="shared" si="109"/>
        <v>Data Analyst</v>
      </c>
      <c r="G602" t="str">
        <f t="shared" si="110"/>
        <v>Data Analyst</v>
      </c>
      <c r="H602" t="s">
        <v>47</v>
      </c>
      <c r="I602" t="s">
        <v>57</v>
      </c>
      <c r="J602" t="s">
        <v>107</v>
      </c>
      <c r="K602" t="str">
        <f t="shared" si="111"/>
        <v>Tech</v>
      </c>
      <c r="L602" t="str">
        <f t="shared" si="112"/>
        <v>Tech</v>
      </c>
      <c r="M602" t="s">
        <v>50</v>
      </c>
      <c r="N602" t="str">
        <f t="shared" si="113"/>
        <v>R</v>
      </c>
      <c r="O602" t="str">
        <f t="shared" si="114"/>
        <v>R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tr">
        <f t="shared" si="115"/>
        <v>Remote Work</v>
      </c>
      <c r="Y602" t="str">
        <f t="shared" si="116"/>
        <v>Remote Work</v>
      </c>
      <c r="Z602" t="s">
        <v>41</v>
      </c>
      <c r="AA602">
        <v>19</v>
      </c>
      <c r="AB602" t="s">
        <v>1729</v>
      </c>
      <c r="AC602" t="str">
        <f t="shared" si="117"/>
        <v>Algeria</v>
      </c>
      <c r="AD602" t="str">
        <f t="shared" si="118"/>
        <v>Others</v>
      </c>
      <c r="AE602" t="s">
        <v>241</v>
      </c>
      <c r="AF602" t="s">
        <v>43</v>
      </c>
      <c r="AG602" t="str">
        <f t="shared" si="108"/>
        <v>White or Caucasian</v>
      </c>
      <c r="AH602" t="str">
        <f t="shared" si="119"/>
        <v>White or Caucasian</v>
      </c>
    </row>
    <row r="603" spans="1:34" x14ac:dyDescent="0.25">
      <c r="A603" t="s">
        <v>1730</v>
      </c>
      <c r="B603" t="s">
        <v>1707</v>
      </c>
      <c r="C603" t="s">
        <v>1731</v>
      </c>
      <c r="D603" t="s">
        <v>116</v>
      </c>
      <c r="E603" t="s">
        <v>1732</v>
      </c>
      <c r="F603" t="str">
        <f t="shared" si="109"/>
        <v>Investigation specialist</v>
      </c>
      <c r="G603" t="str">
        <f t="shared" si="110"/>
        <v>Others</v>
      </c>
      <c r="H603" t="s">
        <v>47</v>
      </c>
      <c r="I603" t="s">
        <v>57</v>
      </c>
      <c r="J603" t="s">
        <v>1258</v>
      </c>
      <c r="K603" t="str">
        <f t="shared" si="111"/>
        <v>Ecommerce</v>
      </c>
      <c r="L603" t="str">
        <f t="shared" si="112"/>
        <v>Others</v>
      </c>
      <c r="M603" t="s">
        <v>38</v>
      </c>
      <c r="N603" t="str">
        <f t="shared" si="113"/>
        <v>Python</v>
      </c>
      <c r="O603" t="str">
        <f t="shared" si="114"/>
        <v>Python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tr">
        <f t="shared" si="115"/>
        <v>Better Salary</v>
      </c>
      <c r="Y603" t="str">
        <f t="shared" si="116"/>
        <v>Better Salary</v>
      </c>
      <c r="Z603" t="s">
        <v>41</v>
      </c>
      <c r="AA603">
        <v>24</v>
      </c>
      <c r="AB603" t="s">
        <v>151</v>
      </c>
      <c r="AC603" t="str">
        <f t="shared" si="117"/>
        <v>India</v>
      </c>
      <c r="AD603" t="str">
        <f t="shared" si="118"/>
        <v>India</v>
      </c>
      <c r="AE603" t="s">
        <v>241</v>
      </c>
      <c r="AF603" t="s">
        <v>204</v>
      </c>
      <c r="AG603" t="str">
        <f t="shared" si="108"/>
        <v>Indian</v>
      </c>
      <c r="AH603" t="str">
        <f t="shared" si="119"/>
        <v>Indian</v>
      </c>
    </row>
    <row r="604" spans="1:34" x14ac:dyDescent="0.25">
      <c r="A604" t="s">
        <v>1733</v>
      </c>
      <c r="B604" t="s">
        <v>1707</v>
      </c>
      <c r="C604" t="s">
        <v>1734</v>
      </c>
      <c r="D604" t="s">
        <v>1471</v>
      </c>
      <c r="E604" t="s">
        <v>1735</v>
      </c>
      <c r="F604" t="str">
        <f t="shared" si="109"/>
        <v>Director</v>
      </c>
      <c r="G604" t="str">
        <f t="shared" si="110"/>
        <v>Others</v>
      </c>
      <c r="H604" t="s">
        <v>47</v>
      </c>
      <c r="I604" t="s">
        <v>67</v>
      </c>
      <c r="J604" t="s">
        <v>49</v>
      </c>
      <c r="K604" t="str">
        <f t="shared" si="111"/>
        <v>Finance</v>
      </c>
      <c r="L604" t="str">
        <f t="shared" si="112"/>
        <v>Finance</v>
      </c>
      <c r="M604" t="s">
        <v>1736</v>
      </c>
      <c r="N604" t="str">
        <f t="shared" si="113"/>
        <v>I do analysis and create presentations based on datasets provided by others</v>
      </c>
      <c r="O604" t="str">
        <f t="shared" si="114"/>
        <v>Others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tr">
        <f t="shared" si="115"/>
        <v>Good Culture</v>
      </c>
      <c r="Y604" t="str">
        <f t="shared" si="116"/>
        <v>Good Culture</v>
      </c>
      <c r="Z604" t="s">
        <v>69</v>
      </c>
      <c r="AA604">
        <v>58</v>
      </c>
      <c r="AB604" t="s">
        <v>42</v>
      </c>
      <c r="AC604" t="str">
        <f t="shared" si="117"/>
        <v>United States</v>
      </c>
      <c r="AD604" t="str">
        <f t="shared" si="118"/>
        <v>United States</v>
      </c>
      <c r="AE604" t="s">
        <v>244</v>
      </c>
      <c r="AF604" t="s">
        <v>43</v>
      </c>
      <c r="AG604" t="str">
        <f t="shared" si="108"/>
        <v>White or Caucasian</v>
      </c>
      <c r="AH604" t="str">
        <f t="shared" si="119"/>
        <v>White or Caucasian</v>
      </c>
    </row>
    <row r="605" spans="1:34" x14ac:dyDescent="0.25">
      <c r="A605" t="s">
        <v>1737</v>
      </c>
      <c r="B605" t="s">
        <v>1738</v>
      </c>
      <c r="C605" t="s">
        <v>1456</v>
      </c>
      <c r="D605" t="s">
        <v>169</v>
      </c>
      <c r="E605" t="s">
        <v>34</v>
      </c>
      <c r="F605" t="str">
        <f t="shared" si="109"/>
        <v>Data Analyst</v>
      </c>
      <c r="G605" t="str">
        <f t="shared" si="110"/>
        <v>Data Analyst</v>
      </c>
      <c r="H605" t="s">
        <v>47</v>
      </c>
      <c r="I605" t="s">
        <v>57</v>
      </c>
      <c r="J605" t="s">
        <v>107</v>
      </c>
      <c r="K605" t="str">
        <f t="shared" si="111"/>
        <v>Tech</v>
      </c>
      <c r="L605" t="str">
        <f t="shared" si="112"/>
        <v>Tech</v>
      </c>
      <c r="M605" t="s">
        <v>38</v>
      </c>
      <c r="N605" t="str">
        <f t="shared" si="113"/>
        <v>Python</v>
      </c>
      <c r="O605" t="str">
        <f t="shared" si="114"/>
        <v>Python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tr">
        <f t="shared" si="115"/>
        <v>Good Work/Life Balance</v>
      </c>
      <c r="Y605" t="str">
        <f t="shared" si="116"/>
        <v>Good Work/Life Balance</v>
      </c>
      <c r="Z605" t="s">
        <v>41</v>
      </c>
      <c r="AA605">
        <v>22</v>
      </c>
      <c r="AB605" t="s">
        <v>423</v>
      </c>
      <c r="AC605" t="str">
        <f t="shared" si="117"/>
        <v>Nigeria</v>
      </c>
      <c r="AD605" t="str">
        <f t="shared" si="118"/>
        <v>Nigeria</v>
      </c>
      <c r="AE605" t="s">
        <v>241</v>
      </c>
      <c r="AF605" t="s">
        <v>62</v>
      </c>
      <c r="AG605" t="str">
        <f t="shared" si="108"/>
        <v>Black or African American</v>
      </c>
      <c r="AH605" t="str">
        <f t="shared" si="119"/>
        <v>Black or African American</v>
      </c>
    </row>
    <row r="606" spans="1:34" x14ac:dyDescent="0.25">
      <c r="A606" t="s">
        <v>1739</v>
      </c>
      <c r="B606" t="s">
        <v>1738</v>
      </c>
      <c r="C606" t="s">
        <v>1740</v>
      </c>
      <c r="D606" t="s">
        <v>471</v>
      </c>
      <c r="E606" t="s">
        <v>34</v>
      </c>
      <c r="F606" t="str">
        <f t="shared" si="109"/>
        <v>Data Analyst</v>
      </c>
      <c r="G606" t="str">
        <f t="shared" si="110"/>
        <v>Data Analyst</v>
      </c>
      <c r="H606" t="s">
        <v>47</v>
      </c>
      <c r="I606" t="s">
        <v>91</v>
      </c>
      <c r="J606" t="s">
        <v>107</v>
      </c>
      <c r="K606" t="str">
        <f t="shared" si="111"/>
        <v>Tech</v>
      </c>
      <c r="L606" t="str">
        <f t="shared" si="112"/>
        <v>Tech</v>
      </c>
      <c r="M606" t="s">
        <v>38</v>
      </c>
      <c r="N606" t="str">
        <f t="shared" si="113"/>
        <v>Python</v>
      </c>
      <c r="O606" t="str">
        <f t="shared" si="114"/>
        <v>Python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tr">
        <f t="shared" si="115"/>
        <v>Better Salary</v>
      </c>
      <c r="Y606" t="str">
        <f t="shared" si="116"/>
        <v>Better Salary</v>
      </c>
      <c r="Z606" t="s">
        <v>41</v>
      </c>
      <c r="AA606">
        <v>26</v>
      </c>
      <c r="AB606" t="s">
        <v>1741</v>
      </c>
      <c r="AC606" t="str">
        <f t="shared" si="117"/>
        <v>Ireland</v>
      </c>
      <c r="AD606" t="str">
        <f t="shared" si="118"/>
        <v>Others</v>
      </c>
      <c r="AE606" t="s">
        <v>244</v>
      </c>
      <c r="AF606" t="s">
        <v>52</v>
      </c>
      <c r="AG606" t="str">
        <f t="shared" si="108"/>
        <v>Asian or Asian American</v>
      </c>
      <c r="AH606" t="str">
        <f t="shared" si="119"/>
        <v>Asian or Asian American</v>
      </c>
    </row>
    <row r="607" spans="1:34" x14ac:dyDescent="0.25">
      <c r="A607" t="s">
        <v>1742</v>
      </c>
      <c r="B607" t="s">
        <v>1738</v>
      </c>
      <c r="C607" t="s">
        <v>1743</v>
      </c>
      <c r="D607" t="s">
        <v>1229</v>
      </c>
      <c r="E607" t="s">
        <v>1744</v>
      </c>
      <c r="F607" t="str">
        <f t="shared" si="109"/>
        <v>Data Manager</v>
      </c>
      <c r="G607" t="str">
        <f t="shared" si="110"/>
        <v>Others</v>
      </c>
      <c r="H607" t="s">
        <v>47</v>
      </c>
      <c r="I607" t="s">
        <v>48</v>
      </c>
      <c r="J607" t="s">
        <v>107</v>
      </c>
      <c r="K607" t="str">
        <f t="shared" si="111"/>
        <v>Tech</v>
      </c>
      <c r="L607" t="str">
        <f t="shared" si="112"/>
        <v>Tech</v>
      </c>
      <c r="M607" t="s">
        <v>380</v>
      </c>
      <c r="N607" t="s">
        <v>1829</v>
      </c>
      <c r="O607" t="str">
        <f t="shared" si="114"/>
        <v>Others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tr">
        <f t="shared" si="115"/>
        <v>Good Culture</v>
      </c>
      <c r="Y607" t="str">
        <f t="shared" si="116"/>
        <v>Good Culture</v>
      </c>
      <c r="Z607" t="s">
        <v>69</v>
      </c>
      <c r="AA607">
        <v>31</v>
      </c>
      <c r="AB607" t="s">
        <v>113</v>
      </c>
      <c r="AC607" t="str">
        <f t="shared" si="117"/>
        <v>United Kingdom</v>
      </c>
      <c r="AD607" t="str">
        <f t="shared" si="118"/>
        <v>United Kingdom</v>
      </c>
      <c r="AE607" t="s">
        <v>241</v>
      </c>
      <c r="AF607" t="s">
        <v>43</v>
      </c>
      <c r="AG607" t="str">
        <f t="shared" si="108"/>
        <v>White or Caucasian</v>
      </c>
      <c r="AH607" t="str">
        <f t="shared" si="119"/>
        <v>White or Caucasian</v>
      </c>
    </row>
    <row r="608" spans="1:34" x14ac:dyDescent="0.25">
      <c r="A608" t="s">
        <v>1745</v>
      </c>
      <c r="B608" t="s">
        <v>1746</v>
      </c>
      <c r="C608" t="s">
        <v>1747</v>
      </c>
      <c r="D608" t="s">
        <v>321</v>
      </c>
      <c r="E608" t="s">
        <v>34</v>
      </c>
      <c r="F608" t="str">
        <f t="shared" si="109"/>
        <v>Data Analyst</v>
      </c>
      <c r="G608" t="str">
        <f t="shared" si="110"/>
        <v>Data Analyst</v>
      </c>
      <c r="H608" t="s">
        <v>47</v>
      </c>
      <c r="I608" t="s">
        <v>48</v>
      </c>
      <c r="J608" t="s">
        <v>798</v>
      </c>
      <c r="K608" t="str">
        <f t="shared" si="111"/>
        <v>Agriculture</v>
      </c>
      <c r="L608" t="str">
        <f t="shared" si="112"/>
        <v>Others</v>
      </c>
      <c r="M608" t="s">
        <v>38</v>
      </c>
      <c r="N608" t="str">
        <f t="shared" si="113"/>
        <v>Python</v>
      </c>
      <c r="O608" t="str">
        <f t="shared" si="114"/>
        <v>Python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tr">
        <f t="shared" si="115"/>
        <v>Better Salary</v>
      </c>
      <c r="Y608" t="str">
        <f t="shared" si="116"/>
        <v>Better Salary</v>
      </c>
      <c r="Z608" t="s">
        <v>41</v>
      </c>
      <c r="AA608">
        <v>23</v>
      </c>
      <c r="AB608" t="s">
        <v>42</v>
      </c>
      <c r="AC608" t="str">
        <f t="shared" si="117"/>
        <v>United States</v>
      </c>
      <c r="AD608" t="str">
        <f t="shared" si="118"/>
        <v>United States</v>
      </c>
      <c r="AE608" t="s">
        <v>231</v>
      </c>
      <c r="AF608" t="s">
        <v>95</v>
      </c>
      <c r="AG608" t="str">
        <f t="shared" si="108"/>
        <v>Hispanic or Latino</v>
      </c>
      <c r="AH608" t="str">
        <f t="shared" si="119"/>
        <v>Hispanic or Latino</v>
      </c>
    </row>
    <row r="609" spans="1:34" x14ac:dyDescent="0.25">
      <c r="A609" t="s">
        <v>1748</v>
      </c>
      <c r="B609" t="s">
        <v>1746</v>
      </c>
      <c r="C609" t="s">
        <v>551</v>
      </c>
      <c r="D609" t="s">
        <v>158</v>
      </c>
      <c r="E609" t="s">
        <v>34</v>
      </c>
      <c r="F609" t="str">
        <f t="shared" si="109"/>
        <v>Data Analyst</v>
      </c>
      <c r="G609" t="str">
        <f t="shared" si="110"/>
        <v>Data Analyst</v>
      </c>
      <c r="H609" t="s">
        <v>47</v>
      </c>
      <c r="I609" t="s">
        <v>91</v>
      </c>
      <c r="J609" t="s">
        <v>37</v>
      </c>
      <c r="K609" t="str">
        <f t="shared" si="111"/>
        <v>Healthcare</v>
      </c>
      <c r="L609" t="str">
        <f t="shared" si="112"/>
        <v>Healthcare</v>
      </c>
      <c r="M609" t="s">
        <v>38</v>
      </c>
      <c r="N609" t="str">
        <f t="shared" si="113"/>
        <v>Python</v>
      </c>
      <c r="O609" t="str">
        <f t="shared" si="114"/>
        <v>Python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tr">
        <f t="shared" si="115"/>
        <v>Remote Work</v>
      </c>
      <c r="Y609" t="str">
        <f t="shared" si="116"/>
        <v>Remote Work</v>
      </c>
      <c r="Z609" t="s">
        <v>69</v>
      </c>
      <c r="AA609">
        <v>31</v>
      </c>
      <c r="AB609" t="s">
        <v>42</v>
      </c>
      <c r="AC609" t="str">
        <f t="shared" si="117"/>
        <v>United States</v>
      </c>
      <c r="AD609" t="str">
        <f t="shared" si="118"/>
        <v>United States</v>
      </c>
      <c r="AE609" t="s">
        <v>244</v>
      </c>
      <c r="AF609" t="s">
        <v>52</v>
      </c>
      <c r="AG609" t="str">
        <f t="shared" si="108"/>
        <v>Asian or Asian American</v>
      </c>
      <c r="AH609" t="str">
        <f t="shared" si="119"/>
        <v>Asian or Asian American</v>
      </c>
    </row>
    <row r="610" spans="1:34" x14ac:dyDescent="0.25">
      <c r="A610" t="s">
        <v>1749</v>
      </c>
      <c r="B610" t="s">
        <v>1746</v>
      </c>
      <c r="C610" t="s">
        <v>1750</v>
      </c>
      <c r="D610" t="s">
        <v>145</v>
      </c>
      <c r="E610" t="s">
        <v>127</v>
      </c>
      <c r="F610" t="str">
        <f t="shared" si="109"/>
        <v>Student/Looking/None</v>
      </c>
      <c r="G610" t="str">
        <f t="shared" si="110"/>
        <v>Student/Looking/None</v>
      </c>
      <c r="H610" t="s">
        <v>47</v>
      </c>
      <c r="I610" t="s">
        <v>98</v>
      </c>
      <c r="J610" t="s">
        <v>117</v>
      </c>
      <c r="K610" t="str">
        <f t="shared" si="111"/>
        <v>Construction</v>
      </c>
      <c r="L610" t="str">
        <f t="shared" si="112"/>
        <v>Construction</v>
      </c>
      <c r="M610" t="s">
        <v>380</v>
      </c>
      <c r="N610" t="s">
        <v>1829</v>
      </c>
      <c r="O610" t="str">
        <f t="shared" si="114"/>
        <v>Others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tr">
        <f t="shared" si="115"/>
        <v>Better Salary</v>
      </c>
      <c r="Y610" t="str">
        <f t="shared" si="116"/>
        <v>Better Salary</v>
      </c>
      <c r="Z610" t="s">
        <v>69</v>
      </c>
      <c r="AA610">
        <v>24</v>
      </c>
      <c r="AB610" t="s">
        <v>42</v>
      </c>
      <c r="AC610" t="str">
        <f t="shared" si="117"/>
        <v>United States</v>
      </c>
      <c r="AD610" t="str">
        <f t="shared" si="118"/>
        <v>United States</v>
      </c>
      <c r="AE610" t="s">
        <v>241</v>
      </c>
      <c r="AF610" t="s">
        <v>52</v>
      </c>
      <c r="AG610" t="str">
        <f t="shared" si="108"/>
        <v>Asian or Asian American</v>
      </c>
      <c r="AH610" t="str">
        <f t="shared" si="119"/>
        <v>Asian or Asian American</v>
      </c>
    </row>
    <row r="611" spans="1:34" x14ac:dyDescent="0.25">
      <c r="A611" t="s">
        <v>1751</v>
      </c>
      <c r="B611" t="s">
        <v>1746</v>
      </c>
      <c r="C611" t="s">
        <v>1752</v>
      </c>
      <c r="D611" t="s">
        <v>793</v>
      </c>
      <c r="E611" t="s">
        <v>629</v>
      </c>
      <c r="F611" t="str">
        <f t="shared" si="109"/>
        <v>Analytics Engineer</v>
      </c>
      <c r="G611" t="str">
        <f t="shared" si="110"/>
        <v>Others</v>
      </c>
      <c r="H611" t="s">
        <v>35</v>
      </c>
      <c r="I611" t="s">
        <v>48</v>
      </c>
      <c r="J611" t="s">
        <v>49</v>
      </c>
      <c r="K611" t="str">
        <f t="shared" si="111"/>
        <v>Finance</v>
      </c>
      <c r="L611" t="str">
        <f t="shared" si="112"/>
        <v>Finance</v>
      </c>
      <c r="M611" t="s">
        <v>38</v>
      </c>
      <c r="N611" t="str">
        <f t="shared" si="113"/>
        <v>Python</v>
      </c>
      <c r="O611" t="str">
        <f t="shared" si="114"/>
        <v>Python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tr">
        <f t="shared" si="115"/>
        <v>Better Salary</v>
      </c>
      <c r="Y611" t="str">
        <f t="shared" si="116"/>
        <v>Better Salary</v>
      </c>
      <c r="Z611" t="s">
        <v>41</v>
      </c>
      <c r="AA611">
        <v>29</v>
      </c>
      <c r="AB611" t="s">
        <v>351</v>
      </c>
      <c r="AC611" t="str">
        <f t="shared" si="117"/>
        <v>Mexico</v>
      </c>
      <c r="AD611" t="str">
        <f t="shared" si="118"/>
        <v>Mexico</v>
      </c>
      <c r="AE611" t="s">
        <v>241</v>
      </c>
      <c r="AF611" t="s">
        <v>95</v>
      </c>
      <c r="AG611" t="str">
        <f t="shared" si="108"/>
        <v>Hispanic or Latino</v>
      </c>
      <c r="AH611" t="str">
        <f t="shared" si="119"/>
        <v>Hispanic or Latino</v>
      </c>
    </row>
    <row r="612" spans="1:34" x14ac:dyDescent="0.25">
      <c r="A612" t="s">
        <v>1753</v>
      </c>
      <c r="B612" t="s">
        <v>1754</v>
      </c>
      <c r="C612" t="s">
        <v>1755</v>
      </c>
      <c r="D612" t="s">
        <v>158</v>
      </c>
      <c r="E612" t="s">
        <v>127</v>
      </c>
      <c r="F612" t="str">
        <f t="shared" si="109"/>
        <v>Student/Looking/None</v>
      </c>
      <c r="G612" t="str">
        <f t="shared" si="110"/>
        <v>Student/Looking/None</v>
      </c>
      <c r="H612" t="s">
        <v>35</v>
      </c>
      <c r="I612" t="s">
        <v>57</v>
      </c>
      <c r="J612" t="s">
        <v>112</v>
      </c>
      <c r="K612" t="str">
        <f t="shared" si="111"/>
        <v>Education</v>
      </c>
      <c r="L612" t="str">
        <f t="shared" si="112"/>
        <v>Education</v>
      </c>
      <c r="M612" t="s">
        <v>38</v>
      </c>
      <c r="N612" t="str">
        <f t="shared" si="113"/>
        <v>Python</v>
      </c>
      <c r="O612" t="str">
        <f t="shared" si="114"/>
        <v>Python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tr">
        <f t="shared" si="115"/>
        <v>Good Work/Life Balance</v>
      </c>
      <c r="Y612" t="str">
        <f t="shared" si="116"/>
        <v>Good Work/Life Balance</v>
      </c>
      <c r="Z612" t="s">
        <v>41</v>
      </c>
      <c r="AA612">
        <v>26</v>
      </c>
      <c r="AB612" t="s">
        <v>1492</v>
      </c>
      <c r="AC612" t="str">
        <f t="shared" si="117"/>
        <v>Indonesia</v>
      </c>
      <c r="AD612" t="str">
        <f t="shared" si="118"/>
        <v>Others</v>
      </c>
      <c r="AE612" t="s">
        <v>241</v>
      </c>
      <c r="AF612" t="s">
        <v>52</v>
      </c>
      <c r="AG612" t="str">
        <f t="shared" si="108"/>
        <v>Asian or Asian American</v>
      </c>
      <c r="AH612" t="str">
        <f t="shared" si="119"/>
        <v>Asian or Asian American</v>
      </c>
    </row>
    <row r="613" spans="1:34" x14ac:dyDescent="0.25">
      <c r="A613" t="s">
        <v>1756</v>
      </c>
      <c r="B613" t="s">
        <v>1754</v>
      </c>
      <c r="C613" t="s">
        <v>1757</v>
      </c>
      <c r="D613" t="s">
        <v>200</v>
      </c>
      <c r="E613" t="s">
        <v>127</v>
      </c>
      <c r="F613" t="str">
        <f t="shared" si="109"/>
        <v>Student/Looking/None</v>
      </c>
      <c r="G613" t="str">
        <f t="shared" si="110"/>
        <v>Student/Looking/None</v>
      </c>
      <c r="H613" t="s">
        <v>35</v>
      </c>
      <c r="I613" t="s">
        <v>57</v>
      </c>
      <c r="J613" t="s">
        <v>1758</v>
      </c>
      <c r="K613" t="str">
        <f t="shared" si="111"/>
        <v>Interning in Sciences, Weather and Meteorological data</v>
      </c>
      <c r="L613" t="str">
        <f t="shared" si="112"/>
        <v>Others</v>
      </c>
      <c r="M613" t="s">
        <v>38</v>
      </c>
      <c r="N613" t="str">
        <f t="shared" si="113"/>
        <v>Python</v>
      </c>
      <c r="O613" t="str">
        <f t="shared" si="114"/>
        <v>Python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tr">
        <f t="shared" si="115"/>
        <v>Better Salary</v>
      </c>
      <c r="Y613" t="str">
        <f t="shared" si="116"/>
        <v>Better Salary</v>
      </c>
      <c r="Z613" t="s">
        <v>41</v>
      </c>
      <c r="AA613">
        <v>20</v>
      </c>
      <c r="AB613" t="s">
        <v>151</v>
      </c>
      <c r="AC613" t="str">
        <f t="shared" si="117"/>
        <v>India</v>
      </c>
      <c r="AD613" t="str">
        <f t="shared" si="118"/>
        <v>India</v>
      </c>
      <c r="AE613" t="s">
        <v>231</v>
      </c>
      <c r="AF613" t="s">
        <v>52</v>
      </c>
      <c r="AG613" t="str">
        <f t="shared" si="108"/>
        <v>Asian or Asian American</v>
      </c>
      <c r="AH613" t="str">
        <f t="shared" si="119"/>
        <v>Asian or Asian American</v>
      </c>
    </row>
    <row r="614" spans="1:34" x14ac:dyDescent="0.25">
      <c r="A614" t="s">
        <v>1759</v>
      </c>
      <c r="B614" t="s">
        <v>1754</v>
      </c>
      <c r="C614" t="s">
        <v>1760</v>
      </c>
      <c r="D614" t="s">
        <v>116</v>
      </c>
      <c r="E614" t="s">
        <v>34</v>
      </c>
      <c r="F614" t="str">
        <f t="shared" si="109"/>
        <v>Data Analyst</v>
      </c>
      <c r="G614" t="str">
        <f t="shared" si="110"/>
        <v>Data Analyst</v>
      </c>
      <c r="H614" t="s">
        <v>35</v>
      </c>
      <c r="I614" t="s">
        <v>57</v>
      </c>
      <c r="J614" t="s">
        <v>112</v>
      </c>
      <c r="K614" t="str">
        <f t="shared" si="111"/>
        <v>Education</v>
      </c>
      <c r="L614" t="str">
        <f t="shared" si="112"/>
        <v>Education</v>
      </c>
      <c r="M614" t="s">
        <v>38</v>
      </c>
      <c r="N614" t="str">
        <f t="shared" si="113"/>
        <v>Python</v>
      </c>
      <c r="O614" t="str">
        <f t="shared" si="114"/>
        <v>Python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tr">
        <f t="shared" si="115"/>
        <v>Better Salary</v>
      </c>
      <c r="Y614" t="str">
        <f t="shared" si="116"/>
        <v>Better Salary</v>
      </c>
      <c r="Z614" t="s">
        <v>41</v>
      </c>
      <c r="AA614">
        <v>23</v>
      </c>
      <c r="AB614" t="s">
        <v>151</v>
      </c>
      <c r="AC614" t="str">
        <f t="shared" si="117"/>
        <v>India</v>
      </c>
      <c r="AD614" t="str">
        <f t="shared" si="118"/>
        <v>India</v>
      </c>
      <c r="AE614" t="s">
        <v>241</v>
      </c>
      <c r="AF614" t="s">
        <v>52</v>
      </c>
      <c r="AG614" t="str">
        <f t="shared" si="108"/>
        <v>Asian or Asian American</v>
      </c>
      <c r="AH614" t="str">
        <f t="shared" si="119"/>
        <v>Asian or Asian American</v>
      </c>
    </row>
    <row r="615" spans="1:34" x14ac:dyDescent="0.25">
      <c r="A615" t="s">
        <v>1761</v>
      </c>
      <c r="B615" t="s">
        <v>1754</v>
      </c>
      <c r="C615" t="s">
        <v>580</v>
      </c>
      <c r="D615" t="s">
        <v>145</v>
      </c>
      <c r="E615" t="s">
        <v>34</v>
      </c>
      <c r="F615" t="str">
        <f t="shared" si="109"/>
        <v>Data Analyst</v>
      </c>
      <c r="G615" t="str">
        <f t="shared" si="110"/>
        <v>Data Analyst</v>
      </c>
      <c r="H615" t="s">
        <v>47</v>
      </c>
      <c r="I615" t="s">
        <v>36</v>
      </c>
      <c r="J615" t="s">
        <v>107</v>
      </c>
      <c r="K615" t="str">
        <f t="shared" si="111"/>
        <v>Tech</v>
      </c>
      <c r="L615" t="str">
        <f t="shared" si="112"/>
        <v>Tech</v>
      </c>
      <c r="M615" t="s">
        <v>38</v>
      </c>
      <c r="N615" t="str">
        <f t="shared" si="113"/>
        <v>Python</v>
      </c>
      <c r="O615" t="str">
        <f t="shared" si="114"/>
        <v>Python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tr">
        <f t="shared" si="115"/>
        <v>Good Work/Life Balance</v>
      </c>
      <c r="Y615" t="str">
        <f t="shared" si="116"/>
        <v>Good Work/Life Balance</v>
      </c>
      <c r="Z615" t="s">
        <v>41</v>
      </c>
      <c r="AA615">
        <v>33</v>
      </c>
      <c r="AB615" t="s">
        <v>42</v>
      </c>
      <c r="AC615" t="str">
        <f t="shared" si="117"/>
        <v>United States</v>
      </c>
      <c r="AD615" t="str">
        <f t="shared" si="118"/>
        <v>United States</v>
      </c>
      <c r="AE615" t="s">
        <v>244</v>
      </c>
      <c r="AF615" t="s">
        <v>43</v>
      </c>
      <c r="AG615" t="str">
        <f t="shared" si="108"/>
        <v>White or Caucasian</v>
      </c>
      <c r="AH615" t="str">
        <f t="shared" si="119"/>
        <v>White or Caucasian</v>
      </c>
    </row>
    <row r="616" spans="1:34" x14ac:dyDescent="0.25">
      <c r="A616" t="s">
        <v>1762</v>
      </c>
      <c r="B616" t="s">
        <v>1754</v>
      </c>
      <c r="C616" t="s">
        <v>688</v>
      </c>
      <c r="D616" t="s">
        <v>686</v>
      </c>
      <c r="E616" t="s">
        <v>127</v>
      </c>
      <c r="F616" t="str">
        <f t="shared" si="109"/>
        <v>Student/Looking/None</v>
      </c>
      <c r="G616" t="str">
        <f t="shared" si="110"/>
        <v>Student/Looking/None</v>
      </c>
      <c r="H616" t="s">
        <v>35</v>
      </c>
      <c r="I616" t="s">
        <v>57</v>
      </c>
      <c r="J616" t="s">
        <v>107</v>
      </c>
      <c r="K616" t="str">
        <f t="shared" si="111"/>
        <v>Tech</v>
      </c>
      <c r="L616" t="str">
        <f t="shared" si="112"/>
        <v>Tech</v>
      </c>
      <c r="M616" t="s">
        <v>38</v>
      </c>
      <c r="N616" t="str">
        <f t="shared" si="113"/>
        <v>Python</v>
      </c>
      <c r="O616" t="str">
        <f t="shared" si="114"/>
        <v>Python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tr">
        <f t="shared" si="115"/>
        <v>Remote Work</v>
      </c>
      <c r="Y616" t="str">
        <f t="shared" si="116"/>
        <v>Remote Work</v>
      </c>
      <c r="Z616" t="s">
        <v>41</v>
      </c>
      <c r="AA616">
        <v>26</v>
      </c>
      <c r="AB616" t="s">
        <v>61</v>
      </c>
      <c r="AC616" t="str">
        <f t="shared" si="117"/>
        <v>Nigeria</v>
      </c>
      <c r="AD616" t="str">
        <f t="shared" si="118"/>
        <v>Nigeria</v>
      </c>
      <c r="AE616" t="s">
        <v>241</v>
      </c>
      <c r="AF616" t="s">
        <v>62</v>
      </c>
      <c r="AG616" t="str">
        <f t="shared" si="108"/>
        <v>Black or African American</v>
      </c>
      <c r="AH616" t="str">
        <f t="shared" si="119"/>
        <v>Black or African American</v>
      </c>
    </row>
    <row r="617" spans="1:34" x14ac:dyDescent="0.25">
      <c r="A617" t="s">
        <v>1763</v>
      </c>
      <c r="B617" t="s">
        <v>1754</v>
      </c>
      <c r="C617" t="s">
        <v>1273</v>
      </c>
      <c r="D617" t="s">
        <v>456</v>
      </c>
      <c r="E617" t="s">
        <v>34</v>
      </c>
      <c r="F617" t="str">
        <f t="shared" si="109"/>
        <v>Data Analyst</v>
      </c>
      <c r="G617" t="str">
        <f t="shared" si="110"/>
        <v>Data Analyst</v>
      </c>
      <c r="H617" t="s">
        <v>35</v>
      </c>
      <c r="I617" t="s">
        <v>57</v>
      </c>
      <c r="J617" t="s">
        <v>397</v>
      </c>
      <c r="K617" t="str">
        <f t="shared" si="111"/>
        <v>Consulting</v>
      </c>
      <c r="L617" t="str">
        <f t="shared" si="112"/>
        <v>Others</v>
      </c>
      <c r="M617" t="s">
        <v>50</v>
      </c>
      <c r="N617" t="str">
        <f t="shared" si="113"/>
        <v>R</v>
      </c>
      <c r="O617" t="str">
        <f t="shared" si="114"/>
        <v>R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tr">
        <f t="shared" si="115"/>
        <v>Better Salary</v>
      </c>
      <c r="Y617" t="str">
        <f t="shared" si="116"/>
        <v>Better Salary</v>
      </c>
      <c r="Z617" t="s">
        <v>41</v>
      </c>
      <c r="AA617">
        <v>27</v>
      </c>
      <c r="AB617" t="s">
        <v>151</v>
      </c>
      <c r="AC617" t="str">
        <f t="shared" si="117"/>
        <v>India</v>
      </c>
      <c r="AD617" t="str">
        <f t="shared" si="118"/>
        <v>India</v>
      </c>
      <c r="AE617" t="s">
        <v>241</v>
      </c>
      <c r="AF617" t="s">
        <v>52</v>
      </c>
      <c r="AG617" t="str">
        <f t="shared" si="108"/>
        <v>Asian or Asian American</v>
      </c>
      <c r="AH617" t="str">
        <f t="shared" si="119"/>
        <v>Asian or Asian American</v>
      </c>
    </row>
    <row r="618" spans="1:34" x14ac:dyDescent="0.25">
      <c r="A618" t="s">
        <v>1764</v>
      </c>
      <c r="B618" t="s">
        <v>1754</v>
      </c>
      <c r="C618" t="s">
        <v>1765</v>
      </c>
      <c r="D618" t="s">
        <v>150</v>
      </c>
      <c r="E618" t="s">
        <v>127</v>
      </c>
      <c r="F618" t="str">
        <f t="shared" si="109"/>
        <v>Student/Looking/None</v>
      </c>
      <c r="G618" t="str">
        <f t="shared" si="110"/>
        <v>Student/Looking/None</v>
      </c>
      <c r="H618" t="s">
        <v>47</v>
      </c>
      <c r="I618" t="s">
        <v>57</v>
      </c>
      <c r="J618" t="s">
        <v>798</v>
      </c>
      <c r="K618" t="str">
        <f t="shared" si="111"/>
        <v>Agriculture</v>
      </c>
      <c r="L618" t="str">
        <f t="shared" si="112"/>
        <v>Others</v>
      </c>
      <c r="M618" t="s">
        <v>191</v>
      </c>
      <c r="N618" t="str">
        <f t="shared" si="113"/>
        <v>sql</v>
      </c>
      <c r="O618" t="str">
        <f t="shared" si="114"/>
        <v>sql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tr">
        <f t="shared" si="115"/>
        <v>Better Salary</v>
      </c>
      <c r="Y618" t="str">
        <f t="shared" si="116"/>
        <v>Better Salary</v>
      </c>
      <c r="Z618" t="s">
        <v>41</v>
      </c>
      <c r="AA618">
        <v>22</v>
      </c>
      <c r="AB618" t="s">
        <v>1766</v>
      </c>
      <c r="AC618" t="str">
        <f t="shared" si="117"/>
        <v>uzb</v>
      </c>
      <c r="AD618" t="str">
        <f t="shared" si="118"/>
        <v>Others</v>
      </c>
      <c r="AE618" t="s">
        <v>241</v>
      </c>
      <c r="AF618" t="s">
        <v>52</v>
      </c>
      <c r="AG618" t="str">
        <f t="shared" si="108"/>
        <v>Asian or Asian American</v>
      </c>
      <c r="AH618" t="str">
        <f t="shared" si="119"/>
        <v>Asian or Asian American</v>
      </c>
    </row>
    <row r="619" spans="1:34" x14ac:dyDescent="0.25">
      <c r="A619" t="s">
        <v>1767</v>
      </c>
      <c r="B619" t="s">
        <v>1754</v>
      </c>
      <c r="C619" t="s">
        <v>1768</v>
      </c>
      <c r="D619" t="s">
        <v>1229</v>
      </c>
      <c r="E619" t="s">
        <v>34</v>
      </c>
      <c r="F619" t="str">
        <f t="shared" si="109"/>
        <v>Data Analyst</v>
      </c>
      <c r="G619" t="str">
        <f t="shared" si="110"/>
        <v>Data Analyst</v>
      </c>
      <c r="H619" t="s">
        <v>35</v>
      </c>
      <c r="I619" t="s">
        <v>57</v>
      </c>
      <c r="J619" t="s">
        <v>107</v>
      </c>
      <c r="K619" t="str">
        <f t="shared" si="111"/>
        <v>Tech</v>
      </c>
      <c r="L619" t="str">
        <f t="shared" si="112"/>
        <v>Tech</v>
      </c>
      <c r="M619" t="s">
        <v>38</v>
      </c>
      <c r="N619" t="str">
        <f t="shared" si="113"/>
        <v>Python</v>
      </c>
      <c r="O619" t="str">
        <f t="shared" si="114"/>
        <v>Python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tr">
        <f t="shared" si="115"/>
        <v>Better Salary</v>
      </c>
      <c r="Y619" t="str">
        <f t="shared" si="116"/>
        <v>Better Salary</v>
      </c>
      <c r="Z619" t="s">
        <v>41</v>
      </c>
      <c r="AA619">
        <v>23</v>
      </c>
      <c r="AB619" t="s">
        <v>211</v>
      </c>
      <c r="AC619" t="str">
        <f t="shared" si="117"/>
        <v>Spain</v>
      </c>
      <c r="AD619" t="str">
        <f t="shared" si="118"/>
        <v>Spain</v>
      </c>
      <c r="AE619" t="s">
        <v>244</v>
      </c>
      <c r="AF619" t="s">
        <v>43</v>
      </c>
      <c r="AG619" t="str">
        <f t="shared" si="108"/>
        <v>White or Caucasian</v>
      </c>
      <c r="AH619" t="str">
        <f t="shared" si="119"/>
        <v>White or Caucasian</v>
      </c>
    </row>
    <row r="620" spans="1:34" x14ac:dyDescent="0.25">
      <c r="A620" t="s">
        <v>1769</v>
      </c>
      <c r="B620" t="s">
        <v>1770</v>
      </c>
      <c r="C620" t="s">
        <v>1771</v>
      </c>
      <c r="D620" t="s">
        <v>735</v>
      </c>
      <c r="E620" t="s">
        <v>1772</v>
      </c>
      <c r="F620" t="str">
        <f t="shared" si="109"/>
        <v>SAP Security Analyst</v>
      </c>
      <c r="G620" t="str">
        <f t="shared" si="110"/>
        <v>Others</v>
      </c>
      <c r="H620" t="s">
        <v>35</v>
      </c>
      <c r="I620" t="s">
        <v>57</v>
      </c>
      <c r="J620" t="s">
        <v>1773</v>
      </c>
      <c r="K620" t="str">
        <f t="shared" si="111"/>
        <v>Beverage and foods</v>
      </c>
      <c r="L620" t="str">
        <f t="shared" si="112"/>
        <v>Others</v>
      </c>
      <c r="M620" t="s">
        <v>38</v>
      </c>
      <c r="N620" t="str">
        <f t="shared" si="113"/>
        <v>Python</v>
      </c>
      <c r="O620" t="str">
        <f t="shared" si="114"/>
        <v>Python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tr">
        <f t="shared" si="115"/>
        <v>Better Salary</v>
      </c>
      <c r="Y620" t="str">
        <f t="shared" si="116"/>
        <v>Better Salary</v>
      </c>
      <c r="Z620" t="s">
        <v>41</v>
      </c>
      <c r="AA620">
        <v>28</v>
      </c>
      <c r="AB620" t="s">
        <v>351</v>
      </c>
      <c r="AC620" t="str">
        <f t="shared" si="117"/>
        <v>Mexico</v>
      </c>
      <c r="AD620" t="str">
        <f t="shared" si="118"/>
        <v>Mexico</v>
      </c>
      <c r="AE620" t="s">
        <v>241</v>
      </c>
      <c r="AF620" t="s">
        <v>95</v>
      </c>
      <c r="AG620" t="str">
        <f t="shared" si="108"/>
        <v>Hispanic or Latino</v>
      </c>
      <c r="AH620" t="str">
        <f t="shared" si="119"/>
        <v>Hispanic or Latino</v>
      </c>
    </row>
    <row r="621" spans="1:34" x14ac:dyDescent="0.25">
      <c r="A621" t="s">
        <v>1774</v>
      </c>
      <c r="B621" t="s">
        <v>1770</v>
      </c>
      <c r="C621" t="s">
        <v>1775</v>
      </c>
      <c r="D621" t="s">
        <v>185</v>
      </c>
      <c r="E621" t="s">
        <v>34</v>
      </c>
      <c r="F621" t="str">
        <f t="shared" si="109"/>
        <v>Data Analyst</v>
      </c>
      <c r="G621" t="str">
        <f t="shared" si="110"/>
        <v>Data Analyst</v>
      </c>
      <c r="H621" t="s">
        <v>47</v>
      </c>
      <c r="I621" t="s">
        <v>48</v>
      </c>
      <c r="J621" t="s">
        <v>49</v>
      </c>
      <c r="K621" t="str">
        <f t="shared" si="111"/>
        <v>Finance</v>
      </c>
      <c r="L621" t="str">
        <f t="shared" si="112"/>
        <v>Finance</v>
      </c>
      <c r="M621" t="s">
        <v>88</v>
      </c>
      <c r="N621" t="str">
        <f t="shared" si="113"/>
        <v>SQL</v>
      </c>
      <c r="O621" t="str">
        <f t="shared" si="114"/>
        <v>SQL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tr">
        <f t="shared" si="115"/>
        <v>Good Work/Life Balance</v>
      </c>
      <c r="Y621" t="str">
        <f t="shared" si="116"/>
        <v>Good Work/Life Balance</v>
      </c>
      <c r="Z621" t="s">
        <v>69</v>
      </c>
      <c r="AA621">
        <v>39</v>
      </c>
      <c r="AB621" t="s">
        <v>427</v>
      </c>
      <c r="AC621" t="str">
        <f t="shared" si="117"/>
        <v>Portugal</v>
      </c>
      <c r="AD621" t="str">
        <f t="shared" si="118"/>
        <v>Portugal</v>
      </c>
      <c r="AE621" t="s">
        <v>244</v>
      </c>
      <c r="AF621" t="s">
        <v>43</v>
      </c>
      <c r="AG621" t="str">
        <f t="shared" si="108"/>
        <v>White or Caucasian</v>
      </c>
      <c r="AH621" t="str">
        <f t="shared" si="119"/>
        <v>White or Caucasian</v>
      </c>
    </row>
    <row r="622" spans="1:34" x14ac:dyDescent="0.25">
      <c r="A622" t="s">
        <v>1776</v>
      </c>
      <c r="B622" t="s">
        <v>1770</v>
      </c>
      <c r="C622" t="s">
        <v>1676</v>
      </c>
      <c r="D622" t="s">
        <v>1339</v>
      </c>
      <c r="E622" t="s">
        <v>1777</v>
      </c>
      <c r="F622" t="str">
        <f t="shared" si="109"/>
        <v>BI Manager</v>
      </c>
      <c r="G622" t="str">
        <f t="shared" si="110"/>
        <v>Others</v>
      </c>
      <c r="H622" t="s">
        <v>47</v>
      </c>
      <c r="I622" t="s">
        <v>36</v>
      </c>
      <c r="J622" t="s">
        <v>1778</v>
      </c>
      <c r="K622" t="str">
        <f t="shared" si="111"/>
        <v>Transportation</v>
      </c>
      <c r="L622" t="str">
        <f t="shared" si="112"/>
        <v>Others</v>
      </c>
      <c r="M622" t="s">
        <v>38</v>
      </c>
      <c r="N622" t="str">
        <f t="shared" si="113"/>
        <v>Python</v>
      </c>
      <c r="O622" t="str">
        <f t="shared" si="114"/>
        <v>Python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tr">
        <f t="shared" si="115"/>
        <v>Better Salary</v>
      </c>
      <c r="Y622" t="str">
        <f t="shared" si="116"/>
        <v>Better Salary</v>
      </c>
      <c r="Z622" t="s">
        <v>41</v>
      </c>
      <c r="AA622">
        <v>37</v>
      </c>
      <c r="AB622" t="s">
        <v>42</v>
      </c>
      <c r="AC622" t="str">
        <f t="shared" si="117"/>
        <v>United States</v>
      </c>
      <c r="AD622" t="str">
        <f t="shared" si="118"/>
        <v>United States</v>
      </c>
      <c r="AE622" t="s">
        <v>244</v>
      </c>
      <c r="AF622" t="s">
        <v>43</v>
      </c>
      <c r="AG622" t="str">
        <f t="shared" si="108"/>
        <v>White or Caucasian</v>
      </c>
      <c r="AH622" t="str">
        <f t="shared" si="119"/>
        <v>White or Caucasian</v>
      </c>
    </row>
    <row r="623" spans="1:34" x14ac:dyDescent="0.25">
      <c r="A623" t="s">
        <v>1779</v>
      </c>
      <c r="B623" t="s">
        <v>1770</v>
      </c>
      <c r="C623" t="s">
        <v>1780</v>
      </c>
      <c r="D623" t="s">
        <v>190</v>
      </c>
      <c r="E623" t="s">
        <v>794</v>
      </c>
      <c r="F623" t="str">
        <f t="shared" si="109"/>
        <v>Database Developer</v>
      </c>
      <c r="G623" t="str">
        <f t="shared" si="110"/>
        <v>Database Developer</v>
      </c>
      <c r="H623" t="s">
        <v>35</v>
      </c>
      <c r="I623" t="s">
        <v>48</v>
      </c>
      <c r="J623" t="s">
        <v>112</v>
      </c>
      <c r="K623" t="str">
        <f t="shared" si="111"/>
        <v>Education</v>
      </c>
      <c r="L623" t="str">
        <f t="shared" si="112"/>
        <v>Education</v>
      </c>
      <c r="M623" t="s">
        <v>88</v>
      </c>
      <c r="N623" t="str">
        <f t="shared" si="113"/>
        <v>SQL</v>
      </c>
      <c r="O623" t="str">
        <f t="shared" si="114"/>
        <v>SQL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tr">
        <f t="shared" si="115"/>
        <v>Better Salary</v>
      </c>
      <c r="Y623" t="str">
        <f t="shared" si="116"/>
        <v>Better Salary</v>
      </c>
      <c r="Z623" t="s">
        <v>69</v>
      </c>
      <c r="AA623">
        <v>29</v>
      </c>
      <c r="AB623" t="s">
        <v>42</v>
      </c>
      <c r="AC623" t="str">
        <f t="shared" si="117"/>
        <v>United States</v>
      </c>
      <c r="AD623" t="str">
        <f t="shared" si="118"/>
        <v>United States</v>
      </c>
      <c r="AE623" t="s">
        <v>244</v>
      </c>
      <c r="AF623" t="s">
        <v>43</v>
      </c>
      <c r="AG623" t="str">
        <f t="shared" si="108"/>
        <v>White or Caucasian</v>
      </c>
      <c r="AH623" t="str">
        <f t="shared" si="119"/>
        <v>White or Caucasian</v>
      </c>
    </row>
    <row r="624" spans="1:34" x14ac:dyDescent="0.25">
      <c r="A624" t="s">
        <v>1781</v>
      </c>
      <c r="B624" t="s">
        <v>1782</v>
      </c>
      <c r="C624" t="s">
        <v>1783</v>
      </c>
      <c r="D624" t="s">
        <v>116</v>
      </c>
      <c r="E624" t="s">
        <v>34</v>
      </c>
      <c r="F624" t="str">
        <f t="shared" si="109"/>
        <v>Data Analyst</v>
      </c>
      <c r="G624" t="str">
        <f t="shared" si="110"/>
        <v>Data Analyst</v>
      </c>
      <c r="H624" t="s">
        <v>35</v>
      </c>
      <c r="I624" t="s">
        <v>36</v>
      </c>
      <c r="J624" t="s">
        <v>49</v>
      </c>
      <c r="K624" t="str">
        <f t="shared" si="111"/>
        <v>Finance</v>
      </c>
      <c r="L624" t="str">
        <f t="shared" si="112"/>
        <v>Finance</v>
      </c>
      <c r="M624" t="s">
        <v>38</v>
      </c>
      <c r="N624" t="str">
        <f t="shared" si="113"/>
        <v>Python</v>
      </c>
      <c r="O624" t="str">
        <f t="shared" si="114"/>
        <v>Python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tr">
        <f t="shared" si="115"/>
        <v>Good Work/Life Balance</v>
      </c>
      <c r="Y624" t="str">
        <f t="shared" si="116"/>
        <v>Good Work/Life Balance</v>
      </c>
      <c r="Z624" t="s">
        <v>41</v>
      </c>
      <c r="AA624">
        <v>42</v>
      </c>
      <c r="AB624" t="s">
        <v>42</v>
      </c>
      <c r="AC624" t="str">
        <f t="shared" si="117"/>
        <v>United States</v>
      </c>
      <c r="AD624" t="str">
        <f t="shared" si="118"/>
        <v>United States</v>
      </c>
      <c r="AE624" t="s">
        <v>244</v>
      </c>
      <c r="AF624" t="s">
        <v>43</v>
      </c>
      <c r="AG624" t="str">
        <f t="shared" si="108"/>
        <v>White or Caucasian</v>
      </c>
      <c r="AH624" t="str">
        <f t="shared" si="119"/>
        <v>White or Caucasian</v>
      </c>
    </row>
    <row r="625" spans="1:34" x14ac:dyDescent="0.25">
      <c r="A625" t="s">
        <v>1784</v>
      </c>
      <c r="B625" t="s">
        <v>1782</v>
      </c>
      <c r="C625" t="s">
        <v>1785</v>
      </c>
      <c r="D625" t="s">
        <v>219</v>
      </c>
      <c r="E625" t="s">
        <v>127</v>
      </c>
      <c r="F625" t="str">
        <f t="shared" si="109"/>
        <v>Student/Looking/None</v>
      </c>
      <c r="G625" t="str">
        <f t="shared" si="110"/>
        <v>Student/Looking/None</v>
      </c>
      <c r="H625" t="s">
        <v>47</v>
      </c>
      <c r="I625" t="s">
        <v>57</v>
      </c>
      <c r="J625" t="s">
        <v>107</v>
      </c>
      <c r="K625" t="str">
        <f t="shared" si="111"/>
        <v>Tech</v>
      </c>
      <c r="L625" t="str">
        <f t="shared" si="112"/>
        <v>Tech</v>
      </c>
      <c r="M625" t="s">
        <v>50</v>
      </c>
      <c r="N625" t="str">
        <f t="shared" si="113"/>
        <v>R</v>
      </c>
      <c r="O625" t="str">
        <f t="shared" si="114"/>
        <v>R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tr">
        <f t="shared" si="115"/>
        <v>Good Culture</v>
      </c>
      <c r="Y625" t="str">
        <f t="shared" si="116"/>
        <v>Good Culture</v>
      </c>
      <c r="Z625" t="s">
        <v>69</v>
      </c>
      <c r="AA625">
        <v>25</v>
      </c>
      <c r="AB625" t="s">
        <v>51</v>
      </c>
      <c r="AC625" t="str">
        <f t="shared" si="117"/>
        <v>Canada</v>
      </c>
      <c r="AD625" t="str">
        <f t="shared" si="118"/>
        <v>Canada</v>
      </c>
      <c r="AE625" t="s">
        <v>241</v>
      </c>
      <c r="AF625" t="s">
        <v>52</v>
      </c>
      <c r="AG625" t="str">
        <f t="shared" si="108"/>
        <v>Asian or Asian American</v>
      </c>
      <c r="AH625" t="str">
        <f t="shared" si="119"/>
        <v>Asian or Asian American</v>
      </c>
    </row>
    <row r="626" spans="1:34" x14ac:dyDescent="0.25">
      <c r="A626" t="s">
        <v>1786</v>
      </c>
      <c r="B626" t="s">
        <v>1787</v>
      </c>
      <c r="C626" t="s">
        <v>1788</v>
      </c>
      <c r="D626" t="s">
        <v>158</v>
      </c>
      <c r="E626" t="s">
        <v>794</v>
      </c>
      <c r="F626" t="str">
        <f t="shared" si="109"/>
        <v>Database Developer</v>
      </c>
      <c r="G626" t="str">
        <f t="shared" si="110"/>
        <v>Database Developer</v>
      </c>
      <c r="H626" t="s">
        <v>35</v>
      </c>
      <c r="I626" t="s">
        <v>57</v>
      </c>
      <c r="J626" t="s">
        <v>94</v>
      </c>
      <c r="K626" t="str">
        <f t="shared" si="111"/>
        <v>Telecommunication</v>
      </c>
      <c r="L626" t="str">
        <f t="shared" si="112"/>
        <v>Telecommunication</v>
      </c>
      <c r="M626" t="s">
        <v>38</v>
      </c>
      <c r="N626" t="str">
        <f t="shared" si="113"/>
        <v>Python</v>
      </c>
      <c r="O626" t="str">
        <f t="shared" si="114"/>
        <v>Python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tr">
        <f t="shared" si="115"/>
        <v>Better Salary</v>
      </c>
      <c r="Y626" t="str">
        <f t="shared" si="116"/>
        <v>Better Salary</v>
      </c>
      <c r="Z626" t="s">
        <v>41</v>
      </c>
      <c r="AA626">
        <v>66</v>
      </c>
      <c r="AB626" t="s">
        <v>1789</v>
      </c>
      <c r="AC626" t="str">
        <f t="shared" si="117"/>
        <v>Morocco</v>
      </c>
      <c r="AD626" t="str">
        <f t="shared" si="118"/>
        <v>Others</v>
      </c>
      <c r="AE626" t="s">
        <v>231</v>
      </c>
      <c r="AF626" t="s">
        <v>62</v>
      </c>
      <c r="AG626" t="str">
        <f t="shared" si="108"/>
        <v>Black or African American</v>
      </c>
      <c r="AH626" t="str">
        <f t="shared" si="119"/>
        <v>Black or African American</v>
      </c>
    </row>
    <row r="627" spans="1:34" x14ac:dyDescent="0.25">
      <c r="A627" t="s">
        <v>1790</v>
      </c>
      <c r="B627" t="s">
        <v>1787</v>
      </c>
      <c r="C627" t="s">
        <v>1791</v>
      </c>
      <c r="D627" t="s">
        <v>1567</v>
      </c>
      <c r="E627" t="s">
        <v>34</v>
      </c>
      <c r="F627" t="str">
        <f t="shared" si="109"/>
        <v>Data Analyst</v>
      </c>
      <c r="G627" t="str">
        <f t="shared" si="110"/>
        <v>Data Analyst</v>
      </c>
      <c r="H627" t="s">
        <v>35</v>
      </c>
      <c r="I627" t="s">
        <v>86</v>
      </c>
      <c r="J627" t="s">
        <v>87</v>
      </c>
      <c r="K627" t="str">
        <f t="shared" si="111"/>
        <v>Retail</v>
      </c>
      <c r="L627" t="str">
        <f t="shared" si="112"/>
        <v>Retail</v>
      </c>
      <c r="M627" t="s">
        <v>50</v>
      </c>
      <c r="N627" t="str">
        <f t="shared" si="113"/>
        <v>R</v>
      </c>
      <c r="O627" t="str">
        <f t="shared" si="114"/>
        <v>R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tr">
        <f t="shared" si="115"/>
        <v>Better Salary</v>
      </c>
      <c r="Y627" t="str">
        <f t="shared" si="116"/>
        <v>Better Salary</v>
      </c>
      <c r="Z627" t="s">
        <v>41</v>
      </c>
      <c r="AA627">
        <v>26</v>
      </c>
      <c r="AB627" t="s">
        <v>42</v>
      </c>
      <c r="AC627" t="str">
        <f t="shared" si="117"/>
        <v>United States</v>
      </c>
      <c r="AD627" t="str">
        <f t="shared" si="118"/>
        <v>United States</v>
      </c>
      <c r="AE627" t="s">
        <v>241</v>
      </c>
      <c r="AF627" t="s">
        <v>43</v>
      </c>
      <c r="AG627" t="str">
        <f t="shared" si="108"/>
        <v>White or Caucasian</v>
      </c>
      <c r="AH627" t="str">
        <f t="shared" si="119"/>
        <v>White or Caucasian</v>
      </c>
    </row>
    <row r="628" spans="1:34" x14ac:dyDescent="0.25">
      <c r="A628" t="s">
        <v>1792</v>
      </c>
      <c r="B628" t="s">
        <v>1793</v>
      </c>
      <c r="C628" t="s">
        <v>1794</v>
      </c>
      <c r="D628" t="s">
        <v>1246</v>
      </c>
      <c r="E628" t="s">
        <v>1795</v>
      </c>
      <c r="F628" t="str">
        <f t="shared" si="109"/>
        <v>Data Scientist Intern</v>
      </c>
      <c r="G628" t="str">
        <f t="shared" si="110"/>
        <v>Others</v>
      </c>
      <c r="H628" t="s">
        <v>47</v>
      </c>
      <c r="I628" t="s">
        <v>57</v>
      </c>
      <c r="J628" t="s">
        <v>495</v>
      </c>
      <c r="K628" t="str">
        <f t="shared" si="111"/>
        <v>Manufacturing</v>
      </c>
      <c r="L628" t="str">
        <f t="shared" si="112"/>
        <v>Others</v>
      </c>
      <c r="M628" t="s">
        <v>50</v>
      </c>
      <c r="N628" t="str">
        <f t="shared" si="113"/>
        <v>R</v>
      </c>
      <c r="O628" t="str">
        <f t="shared" si="114"/>
        <v>R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tr">
        <f t="shared" si="115"/>
        <v>Better Salary</v>
      </c>
      <c r="Y628" t="str">
        <f t="shared" si="116"/>
        <v>Better Salary</v>
      </c>
      <c r="Z628" t="s">
        <v>41</v>
      </c>
      <c r="AA628">
        <v>21</v>
      </c>
      <c r="AB628" t="s">
        <v>42</v>
      </c>
      <c r="AC628" t="str">
        <f t="shared" si="117"/>
        <v>United States</v>
      </c>
      <c r="AD628" t="str">
        <f t="shared" si="118"/>
        <v>United States</v>
      </c>
      <c r="AE628" t="s">
        <v>241</v>
      </c>
      <c r="AF628" t="s">
        <v>43</v>
      </c>
      <c r="AG628" t="str">
        <f t="shared" si="108"/>
        <v>White or Caucasian</v>
      </c>
      <c r="AH628" t="str">
        <f t="shared" si="119"/>
        <v>White or Caucasian</v>
      </c>
    </row>
    <row r="629" spans="1:34" x14ac:dyDescent="0.25">
      <c r="A629" t="s">
        <v>1796</v>
      </c>
      <c r="B629" t="s">
        <v>1797</v>
      </c>
      <c r="C629" t="s">
        <v>422</v>
      </c>
      <c r="D629" t="s">
        <v>1798</v>
      </c>
      <c r="E629" t="s">
        <v>127</v>
      </c>
      <c r="F629" t="str">
        <f t="shared" si="109"/>
        <v>Student/Looking/None</v>
      </c>
      <c r="G629" t="str">
        <f t="shared" si="110"/>
        <v>Student/Looking/None</v>
      </c>
      <c r="H629" t="s">
        <v>35</v>
      </c>
      <c r="I629" t="s">
        <v>57</v>
      </c>
      <c r="J629" t="s">
        <v>107</v>
      </c>
      <c r="K629" t="str">
        <f t="shared" si="111"/>
        <v>Tech</v>
      </c>
      <c r="L629" t="str">
        <f t="shared" si="112"/>
        <v>Tech</v>
      </c>
      <c r="M629" t="s">
        <v>38</v>
      </c>
      <c r="N629" t="str">
        <f t="shared" si="113"/>
        <v>Python</v>
      </c>
      <c r="O629" t="str">
        <f t="shared" si="114"/>
        <v>Python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tr">
        <f t="shared" si="115"/>
        <v>Better Salary</v>
      </c>
      <c r="Y629" t="str">
        <f t="shared" si="116"/>
        <v>Better Salary</v>
      </c>
      <c r="Z629" t="s">
        <v>41</v>
      </c>
      <c r="AA629">
        <v>26</v>
      </c>
      <c r="AB629" t="s">
        <v>1799</v>
      </c>
      <c r="AC629" t="str">
        <f t="shared" si="117"/>
        <v>Oman</v>
      </c>
      <c r="AD629" t="str">
        <f t="shared" si="118"/>
        <v>Others</v>
      </c>
      <c r="AE629" t="s">
        <v>241</v>
      </c>
      <c r="AF629" t="s">
        <v>52</v>
      </c>
      <c r="AG629" t="str">
        <f t="shared" si="108"/>
        <v>Asian or Asian American</v>
      </c>
      <c r="AH629" t="str">
        <f t="shared" si="119"/>
        <v>Asian or Asian American</v>
      </c>
    </row>
    <row r="630" spans="1:34" x14ac:dyDescent="0.25">
      <c r="A630" t="s">
        <v>1800</v>
      </c>
      <c r="B630" t="s">
        <v>1797</v>
      </c>
      <c r="C630" t="s">
        <v>1335</v>
      </c>
      <c r="D630" t="s">
        <v>317</v>
      </c>
      <c r="E630" t="s">
        <v>56</v>
      </c>
      <c r="F630" t="str">
        <f t="shared" si="109"/>
        <v>Data Engineer</v>
      </c>
      <c r="G630" t="str">
        <f t="shared" si="110"/>
        <v>Data Engineer</v>
      </c>
      <c r="H630" t="s">
        <v>47</v>
      </c>
      <c r="I630" t="s">
        <v>57</v>
      </c>
      <c r="J630" t="s">
        <v>107</v>
      </c>
      <c r="K630" t="str">
        <f t="shared" si="111"/>
        <v>Tech</v>
      </c>
      <c r="L630" t="str">
        <f t="shared" si="112"/>
        <v>Tech</v>
      </c>
      <c r="M630" t="s">
        <v>38</v>
      </c>
      <c r="N630" t="str">
        <f t="shared" si="113"/>
        <v>Python</v>
      </c>
      <c r="O630" t="str">
        <f t="shared" si="114"/>
        <v>Python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tr">
        <f t="shared" si="115"/>
        <v>Career Advancedment</v>
      </c>
      <c r="Y630" t="str">
        <f t="shared" si="116"/>
        <v>Others</v>
      </c>
      <c r="Z630" t="s">
        <v>41</v>
      </c>
      <c r="AA630">
        <v>24</v>
      </c>
      <c r="AB630" t="s">
        <v>407</v>
      </c>
      <c r="AC630" t="str">
        <f t="shared" si="117"/>
        <v>Costa Rica</v>
      </c>
      <c r="AD630" t="str">
        <f t="shared" si="118"/>
        <v>Costa Rica</v>
      </c>
      <c r="AE630" t="s">
        <v>241</v>
      </c>
      <c r="AF630" t="s">
        <v>95</v>
      </c>
      <c r="AG630" t="str">
        <f t="shared" si="108"/>
        <v>Hispanic or Latino</v>
      </c>
      <c r="AH630" t="str">
        <f t="shared" si="119"/>
        <v>Hispanic or Latino</v>
      </c>
    </row>
    <row r="631" spans="1:34" x14ac:dyDescent="0.25">
      <c r="A631" t="s">
        <v>1802</v>
      </c>
      <c r="B631" t="s">
        <v>1803</v>
      </c>
      <c r="C631" t="s">
        <v>734</v>
      </c>
      <c r="D631" t="s">
        <v>326</v>
      </c>
      <c r="E631" t="s">
        <v>34</v>
      </c>
      <c r="F631" t="str">
        <f t="shared" si="109"/>
        <v>Data Analyst</v>
      </c>
      <c r="G631" t="str">
        <f t="shared" si="110"/>
        <v>Data Analyst</v>
      </c>
      <c r="H631" t="s">
        <v>47</v>
      </c>
      <c r="I631" t="s">
        <v>48</v>
      </c>
      <c r="J631" t="s">
        <v>182</v>
      </c>
      <c r="K631" t="str">
        <f t="shared" si="111"/>
        <v>Automotive</v>
      </c>
      <c r="L631" t="str">
        <f t="shared" si="112"/>
        <v>Others</v>
      </c>
      <c r="M631" t="s">
        <v>38</v>
      </c>
      <c r="N631" t="str">
        <f t="shared" si="113"/>
        <v>Python</v>
      </c>
      <c r="O631" t="str">
        <f t="shared" si="114"/>
        <v>Python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tr">
        <f t="shared" si="115"/>
        <v>Remote Work</v>
      </c>
      <c r="Y631" t="str">
        <f t="shared" si="116"/>
        <v>Remote Work</v>
      </c>
      <c r="Z631" t="s">
        <v>41</v>
      </c>
      <c r="AA631">
        <v>22</v>
      </c>
      <c r="AB631" t="s">
        <v>42</v>
      </c>
      <c r="AC631" t="str">
        <f t="shared" si="117"/>
        <v>United States</v>
      </c>
      <c r="AD631" t="str">
        <f t="shared" si="118"/>
        <v>United States</v>
      </c>
      <c r="AE631" t="s">
        <v>241</v>
      </c>
      <c r="AF631" t="s">
        <v>52</v>
      </c>
      <c r="AG631" t="str">
        <f t="shared" si="108"/>
        <v>Asian or Asian American</v>
      </c>
      <c r="AH631" t="str">
        <f t="shared" si="119"/>
        <v>Asian or Asian American</v>
      </c>
    </row>
  </sheetData>
  <autoFilter ref="A1:AH631" xr:uid="{5B74C3A0-F677-43B6-A4F2-860150F780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Professional Survey</vt:lpstr>
      <vt:lpstr>Working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2026-03-01T03:06:49Z</dcterms:modified>
  <cp:category/>
</cp:coreProperties>
</file>